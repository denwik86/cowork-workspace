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Executive Summary" sheetId="1" state="visible" r:id="rId1"/>
    <sheet xmlns:r="http://schemas.openxmlformats.org/officeDocument/2006/relationships" name="2. Buyer Longlist" sheetId="2" state="visible" r:id="rId2"/>
    <sheet xmlns:r="http://schemas.openxmlformats.org/officeDocument/2006/relationships" name="3. Comparable M&amp;A" sheetId="3" state="visible" r:id="rId3"/>
    <sheet xmlns:r="http://schemas.openxmlformats.org/officeDocument/2006/relationships" name="4. Valuation" sheetId="4" state="visible" r:id="rId4"/>
    <sheet xmlns:r="http://schemas.openxmlformats.org/officeDocument/2006/relationships" name="5. Process Timeline" sheetId="5" state="visible" r:id="rId5"/>
    <sheet xmlns:r="http://schemas.openxmlformats.org/officeDocument/2006/relationships" name="6. 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&quot;M&quot;"/>
    <numFmt numFmtId="165" formatCode="0.0"/>
    <numFmt numFmtId="166" formatCode="&quot;$&quot;#,##0"/>
    <numFmt numFmtId="167" formatCode="0.0x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C00000"/>
      <sz val="12"/>
    </font>
    <font>
      <name val="Arial"/>
      <b val="1"/>
      <sz val="11"/>
    </font>
    <font>
      <name val="Arial"/>
      <color rgb="00000000"/>
      <sz val="10"/>
    </font>
    <font>
      <name val="Arial"/>
      <b val="1"/>
      <color rgb="00C00000"/>
      <sz val="11"/>
    </font>
    <font>
      <name val="Arial"/>
      <color rgb="000563C1"/>
      <sz val="10"/>
      <u val="single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5E8D4"/>
      </patternFill>
    </fill>
    <fill>
      <patternFill patternType="solid">
        <fgColor rgb="00DAE8FC"/>
      </patternFill>
    </fill>
    <fill>
      <patternFill patternType="solid">
        <fgColor rgb="00FFE6CC"/>
      </patternFill>
    </fill>
    <fill>
      <patternFill patternType="solid">
        <fgColor rgb="00F5F5F5"/>
      </patternFill>
    </fill>
    <fill>
      <patternFill patternType="solid">
        <fgColor rgb="00E1D5E7"/>
      </patternFill>
    </fill>
    <fill>
      <patternFill patternType="solid">
        <fgColor rgb="00F8CE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horizontal="right"/>
    </xf>
    <xf numFmtId="0" fontId="8" fillId="3" borderId="0" pivotButton="0" quotePrefix="0" xfId="0"/>
    <xf numFmtId="0" fontId="9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3" borderId="0" pivotButton="0" quotePrefix="0" xfId="0"/>
    <xf numFmtId="0" fontId="4" fillId="9" borderId="0" pivotButton="0" quotePrefix="0" xfId="0"/>
    <xf numFmtId="0" fontId="5" fillId="0" borderId="0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6" fontId="10" fillId="0" borderId="1" applyAlignment="1" pivotButton="0" quotePrefix="0" xfId="0">
      <alignment vertical="top" wrapText="1"/>
    </xf>
    <xf numFmtId="9" fontId="7" fillId="0" borderId="1" applyAlignment="1" pivotButton="0" quotePrefix="0" xfId="0">
      <alignment vertical="top" wrapText="1"/>
    </xf>
    <xf numFmtId="166" fontId="10" fillId="3" borderId="0" pivotButton="0" quotePrefix="0" xfId="0"/>
    <xf numFmtId="164" fontId="7" fillId="0" borderId="1" applyAlignment="1" pivotButton="0" quotePrefix="0" xfId="0">
      <alignment vertical="top" wrapText="1"/>
    </xf>
    <xf numFmtId="164" fontId="10" fillId="3" borderId="0" pivotButton="0" quotePrefix="0" xfId="0"/>
    <xf numFmtId="164" fontId="10" fillId="0" borderId="0" pivotButton="0" quotePrefix="0" xfId="0"/>
    <xf numFmtId="167" fontId="7" fillId="0" borderId="1" applyAlignment="1" pivotButton="0" quotePrefix="0" xfId="0">
      <alignment vertical="top" wrapText="1"/>
    </xf>
    <xf numFmtId="164" fontId="10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pivotButton="0" quotePrefix="0" xfId="0"/>
    <xf numFmtId="164" fontId="11" fillId="3" borderId="1" applyAlignment="1" pivotButton="0" quotePrefix="0" xfId="0">
      <alignment horizontal="right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techcrunch.com/2021/06/25/aws-is-buying-encrypted-messaging-service-wickr/" TargetMode="External" Id="rId1"/><Relationship Type="http://schemas.openxmlformats.org/officeDocument/2006/relationships/hyperlink" Target="https://techcrunch.com/2024/04/09/wordpress-com-owner-automattic-acquires-multi-service-messaging-app-beeper-for-125m/" TargetMode="External" Id="rId2"/><Relationship Type="http://schemas.openxmlformats.org/officeDocument/2006/relationships/hyperlink" Target="https://techcrunch.com/2024/02/09/notion-acquires-privacy-focused-productivity-platform-skiff/" TargetMode="External" Id="rId3"/><Relationship Type="http://schemas.openxmlformats.org/officeDocument/2006/relationships/hyperlink" Target="https://www.vischer.com/en/knowledge/deals-cases/afinum-acquires-threema-38719/" TargetMode="External" Id="rId4"/><Relationship Type="http://schemas.openxmlformats.org/officeDocument/2006/relationships/hyperlink" Target="https://www.privacyguides.org/news/2026/01/16/another-private-equity-firm-acquires-threema/" TargetMode="External" Id="rId5"/><Relationship Type="http://schemas.openxmlformats.org/officeDocument/2006/relationships/hyperlink" Target="https://www.crunchbase.com/organization/symphony-3" TargetMode="External" Id="rId6"/><Relationship Type="http://schemas.openxmlformats.org/officeDocument/2006/relationships/hyperlink" Target="https://www.theregister.com/2026/02/09/matrix_element_secure_chat/" TargetMode="External" Id="rId7"/><Relationship Type="http://schemas.openxmlformats.org/officeDocument/2006/relationships/hyperlink" Target="https://wire.com/en/blog/schwarzgruppe-partnership" TargetMode="External" Id="rId8"/><Relationship Type="http://schemas.openxmlformats.org/officeDocument/2006/relationships/hyperlink" Target="https://schwarz-digits.de/en/presse/archive/2024/focus-on-sovereign-communication-with-wire-schwarz-digits-realigns-digital-service-provider-mmmake" TargetMode="External" Id="rId9"/><Relationship Type="http://schemas.openxmlformats.org/officeDocument/2006/relationships/hyperlink" Target="https://en.wikipedia.org/wiki/Proton_AG" TargetMode="External" Id="rId10"/><Relationship Type="http://schemas.openxmlformats.org/officeDocument/2006/relationships/hyperlink" Target="https://fortune.com/crypto/2025/03/20/telegram-based-blockchain-ton-raises-400-million-from-prominent-crypto-vcs/" TargetMode="External" Id="rId11"/><Relationship Type="http://schemas.openxmlformats.org/officeDocument/2006/relationships/hyperlink" Target="https://en.wikipedia.org/wiki/ToTok" TargetMode="External" Id="rId12"/><Relationship Type="http://schemas.openxmlformats.org/officeDocument/2006/relationships/hyperlink" Target="https://www.blackberry.com/us/en/company/newsroom/press-releases/2014/blackberry-reinforces-mobile-security-leadership-with-acquisition-of-secusmart" TargetMode="External" Id="rId13"/><Relationship Type="http://schemas.openxmlformats.org/officeDocument/2006/relationships/hyperlink" Target="https://techcrunch.com/2014/02/13/japanese-internet-giant-rakuten-acquires-viber-for-900m/" TargetMode="External" Id="rId14"/><Relationship Type="http://schemas.openxmlformats.org/officeDocument/2006/relationships/hyperlink" Target="https://www.dailysabah.com/business/tech/turkish-messaging-app-bips-global-users-near-8m" TargetMode="External" Id="rId15"/><Relationship Type="http://schemas.openxmlformats.org/officeDocument/2006/relationships/hyperlink" Target="https://afridigest.com/africas-super-app-landscape-evolving/" TargetMode="External" Id="rId16"/><Relationship Type="http://schemas.openxmlformats.org/officeDocument/2006/relationships/hyperlink" Target="https://www.crunchbase.com/organization/nord-security" TargetMode="External" Id="rId17"/><Relationship Type="http://schemas.openxmlformats.org/officeDocument/2006/relationships/hyperlink" Target="https://www.reuters.com/business/atos-bds-airbus/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22" customWidth="1" min="3" max="3"/>
    <col width="16" customWidth="1" min="4" max="4"/>
    <col width="60" customWidth="1" min="5" max="5"/>
    <col width="18" customWidth="1" min="6" max="6"/>
  </cols>
  <sheetData>
    <row r="1">
      <c r="A1" s="1" t="inlineStr">
        <is>
          <t>Project Penumbra — Messenger Asset Sale</t>
        </is>
      </c>
    </row>
    <row r="2">
      <c r="A2" s="2" t="inlineStr">
        <is>
          <t>Confidential research memo — Buyer mapping &amp; indicative valuation</t>
        </is>
      </c>
    </row>
    <row r="4">
      <c r="A4" s="3" t="inlineStr">
        <is>
          <t>ASSET PROFILE</t>
        </is>
      </c>
    </row>
    <row r="5">
      <c r="A5" s="4" t="inlineStr">
        <is>
          <t>Product</t>
        </is>
      </c>
      <c r="B5" s="5" t="inlineStr">
        <is>
          <t>Telegram-class messenger (full stack)</t>
        </is>
      </c>
    </row>
    <row r="6">
      <c r="A6" s="4" t="inlineStr">
        <is>
          <t>Clients</t>
        </is>
      </c>
      <c r="B6" s="5" t="inlineStr">
        <is>
          <t>iOS, Android, Web, Desktop</t>
        </is>
      </c>
    </row>
    <row r="7">
      <c r="A7" s="4" t="inlineStr">
        <is>
          <t>Backend</t>
        </is>
      </c>
      <c r="B7" s="5" t="inlineStr">
        <is>
          <t>Own server infrastructure + transport protocol</t>
        </is>
      </c>
    </row>
    <row r="8">
      <c r="A8" s="4" t="inlineStr">
        <is>
          <t>Security</t>
        </is>
      </c>
      <c r="B8" s="5" t="inlineStr">
        <is>
          <t>Proprietary E2E encryption (own crypto)</t>
        </is>
      </c>
    </row>
    <row r="9">
      <c r="A9" s="4" t="inlineStr">
        <is>
          <t>Features</t>
        </is>
      </c>
      <c r="B9" s="5" t="inlineStr">
        <is>
          <t>1:1, groups, channels, voice + video calls, bots / API</t>
        </is>
      </c>
    </row>
    <row r="10">
      <c r="A10" s="4" t="inlineStr">
        <is>
          <t>Status</t>
        </is>
      </c>
      <c r="B10" s="5" t="inlineStr">
        <is>
          <t>Tested, production-ready, no audience</t>
        </is>
      </c>
    </row>
    <row r="11">
      <c r="A11" s="4" t="inlineStr">
        <is>
          <t>Team</t>
        </is>
      </c>
      <c r="B11" s="5" t="inlineStr">
        <is>
          <t>In place, EU / UK / CH</t>
        </is>
      </c>
    </row>
    <row r="12">
      <c r="A12" s="4" t="inlineStr">
        <is>
          <t>IP jurisdiction</t>
        </is>
      </c>
      <c r="B12" s="5" t="inlineStr">
        <is>
          <t>EU / UK / CH (Western-friendly — material to valuation)</t>
        </is>
      </c>
    </row>
    <row r="13">
      <c r="A13" s="4" t="inlineStr">
        <is>
          <t>Process target</t>
        </is>
      </c>
      <c r="B13" s="5" t="inlineStr">
        <is>
          <t>Quick deal: 3–6 months, reasonable price</t>
        </is>
      </c>
    </row>
    <row r="15">
      <c r="A15" s="3" t="inlineStr">
        <is>
          <t>VALUATION CONCLUSION (3-method football field, USD)</t>
        </is>
      </c>
    </row>
    <row r="16">
      <c r="A16" s="6" t="inlineStr">
        <is>
          <t>Scenario</t>
        </is>
      </c>
      <c r="B16" s="6" t="inlineStr">
        <is>
          <t>Low</t>
        </is>
      </c>
      <c r="C16" s="6" t="inlineStr">
        <is>
          <t>Mid</t>
        </is>
      </c>
      <c r="D16" s="6" t="inlineStr">
        <is>
          <t>High</t>
        </is>
      </c>
      <c r="E16" s="6" t="inlineStr">
        <is>
          <t>Driver</t>
        </is>
      </c>
    </row>
    <row r="17">
      <c r="A17" s="7" t="inlineStr">
        <is>
          <t>Floor (asset / acqui-hire sale to PE)</t>
        </is>
      </c>
      <c r="B17" s="8" t="n">
        <v>8</v>
      </c>
      <c r="C17" s="8" t="n">
        <v>12</v>
      </c>
      <c r="D17" s="8" t="n">
        <v>15</v>
      </c>
      <c r="E17" s="7" t="inlineStr">
        <is>
          <t>Replacement-cost discount, distressed timing</t>
        </is>
      </c>
    </row>
    <row r="18">
      <c r="A18" s="7" t="inlineStr">
        <is>
          <t>Base case — quick strategic sale (3–6 mo)</t>
        </is>
      </c>
      <c r="B18" s="8" t="n">
        <v>25</v>
      </c>
      <c r="C18" s="8" t="n">
        <v>40</v>
      </c>
      <c r="D18" s="8" t="n">
        <v>55</v>
      </c>
      <c r="E18" s="7" t="inlineStr">
        <is>
          <t>Single motivated strategic, no auction</t>
        </is>
      </c>
    </row>
    <row r="19">
      <c r="A19" s="7" t="inlineStr">
        <is>
          <t>Mid — competitive process w/ 2–3 bidders</t>
        </is>
      </c>
      <c r="B19" s="8" t="n">
        <v>50</v>
      </c>
      <c r="C19" s="8" t="n">
        <v>70</v>
      </c>
      <c r="D19" s="8" t="n">
        <v>90</v>
      </c>
      <c r="E19" s="7" t="inlineStr">
        <is>
          <t>Auction tension, EU-sovereign narrative</t>
        </is>
      </c>
    </row>
    <row r="20">
      <c r="A20" s="7" t="inlineStr">
        <is>
          <t>Upside — sovereign / Gulf strategic premium</t>
        </is>
      </c>
      <c r="B20" s="8" t="n">
        <v>90</v>
      </c>
      <c r="C20" s="8" t="n">
        <v>130</v>
      </c>
      <c r="D20" s="8" t="n">
        <v>180</v>
      </c>
      <c r="E20" s="7" t="inlineStr">
        <is>
          <t>UAE/Saudi/Schwarz-tier buyer, full earn-out</t>
        </is>
      </c>
    </row>
    <row r="22">
      <c r="A22" s="3" t="inlineStr">
        <is>
          <t>RECOMMENDED ASK FOR 3–6 MONTH PROCESS</t>
        </is>
      </c>
    </row>
    <row r="23">
      <c r="A23" s="4" t="inlineStr">
        <is>
          <t>Headline ask (USD):</t>
        </is>
      </c>
      <c r="B23" s="9" t="inlineStr">
        <is>
          <t>$45–60M</t>
        </is>
      </c>
    </row>
    <row r="24">
      <c r="A24" s="4" t="inlineStr">
        <is>
          <t>Walk-away floor:</t>
        </is>
      </c>
      <c r="B24" s="10" t="inlineStr">
        <is>
          <t>$20M cash + 24-mo team retention</t>
        </is>
      </c>
    </row>
    <row r="26">
      <c r="A26" s="3" t="inlineStr">
        <is>
          <t>TOP-10 PRIORITY TARGETS (see sheet 2 for full list of 45)</t>
        </is>
      </c>
    </row>
    <row r="27">
      <c r="A27" s="6" t="inlineStr">
        <is>
          <t>#</t>
        </is>
      </c>
      <c r="B27" s="6" t="inlineStr">
        <is>
          <t>Buyer</t>
        </is>
      </c>
      <c r="C27" s="6" t="inlineStr">
        <is>
          <t>Type</t>
        </is>
      </c>
      <c r="D27" s="6" t="inlineStr">
        <is>
          <t>HQ</t>
        </is>
      </c>
      <c r="E27" s="6" t="inlineStr">
        <is>
          <t>Why they buy</t>
        </is>
      </c>
      <c r="F27" s="6" t="inlineStr">
        <is>
          <t>Likely band</t>
        </is>
      </c>
    </row>
    <row r="28" ht="60" customHeight="1">
      <c r="A28" s="7" t="n">
        <v>1</v>
      </c>
      <c r="B28" s="7" t="inlineStr">
        <is>
          <t>Schwarz Digits (Schwarz Group)</t>
        </is>
      </c>
      <c r="C28" s="7" t="inlineStr">
        <is>
          <t>Strategic — sovereign cloud</t>
        </is>
      </c>
      <c r="D28" s="7" t="inlineStr">
        <is>
          <t>Germany</t>
        </is>
      </c>
      <c r="E28" s="7" t="inlineStr">
        <is>
          <t>Already invested in Wire (2024) explicitly for EU sovereign comms. Building competing stack to MS/Google. Best cultural + thesis fit.</t>
        </is>
      </c>
      <c r="F28" s="7" t="inlineStr">
        <is>
          <t>$40–80M</t>
        </is>
      </c>
    </row>
    <row r="29" ht="60" customHeight="1">
      <c r="A29" s="7" t="n">
        <v>2</v>
      </c>
      <c r="B29" s="7" t="inlineStr">
        <is>
          <t>Proton AG</t>
        </is>
      </c>
      <c r="C29" s="7" t="inlineStr">
        <is>
          <t>Strategic — privacy suite</t>
        </is>
      </c>
      <c r="D29" s="7" t="inlineStr">
        <is>
          <t>Switzerland</t>
        </is>
      </c>
      <c r="E29" s="7" t="inlineStr">
        <is>
          <t>No own messenger; bought Standard Notes (2024), SimpleLogin (2022). Suite-completion logic. Swiss HQ — perfect match if team is CH-aligned.</t>
        </is>
      </c>
      <c r="F29" s="7" t="inlineStr">
        <is>
          <t>$25–50M</t>
        </is>
      </c>
    </row>
    <row r="30" ht="60" customHeight="1">
      <c r="A30" s="7" t="n">
        <v>3</v>
      </c>
      <c r="B30" s="7" t="inlineStr">
        <is>
          <t>Automattic</t>
        </is>
      </c>
      <c r="C30" s="7" t="inlineStr">
        <is>
          <t>Strategic — messaging portfolio</t>
        </is>
      </c>
      <c r="D30" s="7" t="inlineStr">
        <is>
          <t>USA / global remote</t>
        </is>
      </c>
      <c r="E30" s="7" t="inlineStr">
        <is>
          <t>Paid $125M for Beeper (Apr 2024) + Texts.com (2023). Active acquirer of messaging IP + teams.</t>
        </is>
      </c>
      <c r="F30" s="7" t="inlineStr">
        <is>
          <t>$30–70M</t>
        </is>
      </c>
    </row>
    <row r="31" ht="60" customHeight="1">
      <c r="A31" s="7" t="n">
        <v>4</v>
      </c>
      <c r="B31" s="7" t="inlineStr">
        <is>
          <t>Notion Labs</t>
        </is>
      </c>
      <c r="C31" s="7" t="inlineStr">
        <is>
          <t>Strategic — comms expansion</t>
        </is>
      </c>
      <c r="D31" s="7" t="inlineStr">
        <is>
          <t>USA</t>
        </is>
      </c>
      <c r="E31" s="7" t="inlineStr">
        <is>
          <t>Bought Skiff (Feb 2024) for IP+team, sunset product. Now launching email. Same playbook fits.</t>
        </is>
      </c>
      <c r="F31" s="7" t="inlineStr">
        <is>
          <t>$20–40M</t>
        </is>
      </c>
    </row>
    <row r="32" ht="60" customHeight="1">
      <c r="A32" s="7" t="n">
        <v>5</v>
      </c>
      <c r="B32" s="7" t="inlineStr">
        <is>
          <t>G42 / EDGE Group / Presight</t>
        </is>
      </c>
      <c r="C32" s="7" t="inlineStr">
        <is>
          <t>Sovereign tech (UAE)</t>
        </is>
      </c>
      <c r="D32" s="7" t="inlineStr">
        <is>
          <t>Abu Dhabi</t>
        </is>
      </c>
      <c r="E32" s="7" t="inlineStr">
        <is>
          <t>UAE proven appetite for sovereign messenger (ToTok history). EDGE Group acquires Western IP regularly. Largest possible cheque.</t>
        </is>
      </c>
      <c r="F32" s="7" t="inlineStr">
        <is>
          <t>$80–200M</t>
        </is>
      </c>
    </row>
    <row r="33" ht="60" customHeight="1">
      <c r="A33" s="7" t="n">
        <v>6</v>
      </c>
      <c r="B33" s="7" t="inlineStr">
        <is>
          <t>Saudi STC / PIF / NEOM (sovereign)</t>
        </is>
      </c>
      <c r="C33" s="7" t="inlineStr">
        <is>
          <t>Sovereign tech (KSA)</t>
        </is>
      </c>
      <c r="D33" s="7" t="inlineStr">
        <is>
          <t>Riyadh</t>
        </is>
      </c>
      <c r="E33" s="7" t="inlineStr">
        <is>
          <t>STC building 'Jawwy' super-app. NEOM seeded multiple sovereign-tech bets. Vision 2030 budget.</t>
        </is>
      </c>
      <c r="F33" s="7" t="inlineStr">
        <is>
          <t>$60–150M</t>
        </is>
      </c>
    </row>
    <row r="34" ht="60" customHeight="1">
      <c r="A34" s="7" t="n">
        <v>7</v>
      </c>
      <c r="B34" s="7" t="inlineStr">
        <is>
          <t>Türk Telekom / Turkcell (BiP consortium)</t>
        </is>
      </c>
      <c r="C34" s="7" t="inlineStr">
        <is>
          <t>Telco super-app</t>
        </is>
      </c>
      <c r="D34" s="7" t="inlineStr">
        <is>
          <t>Istanbul</t>
        </is>
      </c>
      <c r="E34" s="7" t="inlineStr">
        <is>
          <t>BiP at 65M downloads; consortium actively expanding to MENA/SE Asia. Could acquire EU-grade tech as Tier-2 product.</t>
        </is>
      </c>
      <c r="F34" s="7" t="inlineStr">
        <is>
          <t>$20–50M</t>
        </is>
      </c>
    </row>
    <row r="35" ht="60" customHeight="1">
      <c r="A35" s="7" t="n">
        <v>8</v>
      </c>
      <c r="B35" s="7" t="inlineStr">
        <is>
          <t>Nord Security (NordVPN parent)</t>
        </is>
      </c>
      <c r="C35" s="7" t="inlineStr">
        <is>
          <t>Privacy consumer</t>
        </is>
      </c>
      <c r="D35" s="7" t="inlineStr">
        <is>
          <t>Lithuania</t>
        </is>
      </c>
      <c r="E35" s="7" t="inlineStr">
        <is>
          <t>EU-aligned, well-capitalised ($600M raise), no messenger yet, owns NordPass / NordLayer suite. Suite-expansion candidate.</t>
        </is>
      </c>
      <c r="F35" s="7" t="inlineStr">
        <is>
          <t>$25–45M</t>
        </is>
      </c>
    </row>
    <row r="36" ht="60" customHeight="1">
      <c r="A36" s="7" t="n">
        <v>9</v>
      </c>
      <c r="B36" s="7" t="inlineStr">
        <is>
          <t>BlackBerry (Secure Communications)</t>
        </is>
      </c>
      <c r="C36" s="7" t="inlineStr">
        <is>
          <t>Enterprise secure comms</t>
        </is>
      </c>
      <c r="D36" s="7" t="inlineStr">
        <is>
          <t>Canada</t>
        </is>
      </c>
      <c r="E36" s="7" t="inlineStr">
        <is>
          <t>Owns SecuSUITE (Secusmart acquisition 2014). Looking to refresh comms portfolio; activist pressure for growth.</t>
        </is>
      </c>
      <c r="F36" s="7" t="inlineStr">
        <is>
          <t>$20–45M</t>
        </is>
      </c>
    </row>
    <row r="37" ht="60" customHeight="1">
      <c r="A37" s="7" t="n">
        <v>10</v>
      </c>
      <c r="B37" s="7" t="inlineStr">
        <is>
          <t>Atos / Eviden (Bull Sequana / IDnomic)</t>
        </is>
      </c>
      <c r="C37" s="7" t="inlineStr">
        <is>
          <t>EU defence-tech</t>
        </is>
      </c>
      <c r="D37" s="7" t="inlineStr">
        <is>
          <t>France</t>
        </is>
      </c>
      <c r="E37" s="7" t="inlineStr">
        <is>
          <t>Restructured 2024; Eviden retains secure-comms unit. EU sovereign narrative + defence customers. Distressed but strategic.</t>
        </is>
      </c>
      <c r="F37" s="7" t="inlineStr">
        <is>
          <t>$15–40M</t>
        </is>
      </c>
    </row>
  </sheetData>
  <mergeCells count="11">
    <mergeCell ref="A2:F2"/>
    <mergeCell ref="B12:F12"/>
    <mergeCell ref="B7:F7"/>
    <mergeCell ref="B6:F6"/>
    <mergeCell ref="B10:F10"/>
    <mergeCell ref="A1:F1"/>
    <mergeCell ref="B11:F11"/>
    <mergeCell ref="B5:F5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" customWidth="1" min="2" max="2"/>
    <col width="30" customWidth="1" min="3" max="3"/>
    <col width="22" customWidth="1" min="4" max="4"/>
    <col width="16" customWidth="1" min="5" max="5"/>
    <col width="60" customWidth="1" min="6" max="6"/>
    <col width="40" customWidth="1" min="7" max="7"/>
    <col width="16" customWidth="1" min="8" max="8"/>
    <col width="8" customWidth="1" min="9" max="9"/>
    <col width="8" customWidth="1" min="10" max="10"/>
    <col width="40" customWidth="1" min="11" max="11"/>
  </cols>
  <sheetData>
    <row r="1">
      <c r="A1" s="1" t="inlineStr">
        <is>
          <t>Buyer longlist — 45 named targets, segmented by archetype</t>
        </is>
      </c>
    </row>
    <row r="3">
      <c r="A3" s="6" t="inlineStr">
        <is>
          <t>#</t>
        </is>
      </c>
      <c r="B3" s="6" t="inlineStr">
        <is>
          <t>Tier</t>
        </is>
      </c>
      <c r="C3" s="6" t="inlineStr">
        <is>
          <t>Buyer</t>
        </is>
      </c>
      <c r="D3" s="6" t="inlineStr">
        <is>
          <t>Archetype</t>
        </is>
      </c>
      <c r="E3" s="6" t="inlineStr">
        <is>
          <t>HQ</t>
        </is>
      </c>
      <c r="F3" s="6" t="inlineStr">
        <is>
          <t>Strategic rationale</t>
        </is>
      </c>
      <c r="G3" s="6" t="inlineStr">
        <is>
          <t>Recent relevant precedent</t>
        </is>
      </c>
      <c r="H3" s="6" t="inlineStr">
        <is>
          <t>Likely budget (USD)</t>
        </is>
      </c>
      <c r="I3" s="6" t="inlineStr">
        <is>
          <t>Speed (1-5)</t>
        </is>
      </c>
      <c r="J3" s="6" t="inlineStr">
        <is>
          <t>Priority (1-5)</t>
        </is>
      </c>
      <c r="K3" s="6" t="inlineStr">
        <is>
          <t>How to reach</t>
        </is>
      </c>
    </row>
    <row r="4" ht="60" customHeight="1">
      <c r="A4" s="7" t="n">
        <v>1</v>
      </c>
      <c r="B4" s="11" t="inlineStr">
        <is>
          <t>A</t>
        </is>
      </c>
      <c r="C4" s="7" t="inlineStr">
        <is>
          <t>Schwarz Digits / Schwarz Group</t>
        </is>
      </c>
      <c r="D4" s="7" t="inlineStr">
        <is>
          <t>Strategic / sovereign cloud</t>
        </is>
      </c>
      <c r="E4" s="7" t="inlineStr">
        <is>
          <t>Germany</t>
        </is>
      </c>
      <c r="F4" s="7" t="inlineStr">
        <is>
          <t>Already invested in Wire (Apr 2024) explicitly for EU sovereign comms. Building German Microsoft / AWS alternative. Mission-aligned, EU IP is selling point.</t>
        </is>
      </c>
      <c r="G4" s="7" t="inlineStr">
        <is>
          <t>Strategic investment in Wire (2024); €11bn data center; Schwarz Digits division</t>
        </is>
      </c>
      <c r="H4" s="7" t="inlineStr">
        <is>
          <t>$40–80M</t>
        </is>
      </c>
      <c r="I4" s="12" t="n">
        <v>4</v>
      </c>
      <c r="J4" s="12" t="n">
        <v>5</v>
      </c>
      <c r="K4" s="7" t="inlineStr">
        <is>
          <t>Direct: Schwarz Digits BD / M&amp;A team. Warm intro via Wire AG / mmmake.</t>
        </is>
      </c>
    </row>
    <row r="5" ht="60" customHeight="1">
      <c r="A5" s="7" t="n">
        <v>2</v>
      </c>
      <c r="B5" s="11" t="inlineStr">
        <is>
          <t>A</t>
        </is>
      </c>
      <c r="C5" s="7" t="inlineStr">
        <is>
          <t>Proton AG (Proton Foundation)</t>
        </is>
      </c>
      <c r="D5" s="7" t="inlineStr">
        <is>
          <t>Strategic — privacy suite</t>
        </is>
      </c>
      <c r="E5" s="7" t="inlineStr">
        <is>
          <t>Switzerland</t>
        </is>
      </c>
      <c r="F5" s="7" t="inlineStr">
        <is>
          <t>No own messenger; controlled by non-profit Foundation since 2024. Acquired Standard Notes (Apr 2024) and SimpleLogin (2022). Suite-completion play.</t>
        </is>
      </c>
      <c r="G5" s="7" t="inlineStr">
        <is>
          <t>Standard Notes (2024), SimpleLogin (2022) — both undisclosed, est. $5–20M</t>
        </is>
      </c>
      <c r="H5" s="7" t="inlineStr">
        <is>
          <t>$25–50M</t>
        </is>
      </c>
      <c r="I5" s="12" t="n">
        <v>4</v>
      </c>
      <c r="J5" s="12" t="n">
        <v>5</v>
      </c>
      <c r="K5" s="7" t="inlineStr">
        <is>
          <t>Direct: Andy Yen (CEO) or Antonio Cesarano (Head of Corp Dev). Privacy-circle warm intros.</t>
        </is>
      </c>
    </row>
    <row r="6" ht="60" customHeight="1">
      <c r="A6" s="7" t="n">
        <v>3</v>
      </c>
      <c r="B6" s="11" t="inlineStr">
        <is>
          <t>A</t>
        </is>
      </c>
      <c r="C6" s="7" t="inlineStr">
        <is>
          <t>Automattic Inc.</t>
        </is>
      </c>
      <c r="D6" s="7" t="inlineStr">
        <is>
          <t>Strategic — messaging portfolio</t>
        </is>
      </c>
      <c r="E6" s="7" t="inlineStr">
        <is>
          <t>USA (remote)</t>
        </is>
      </c>
      <c r="F6" s="7" t="inlineStr">
        <is>
          <t>Bought Beeper $125M (Apr 2024) + Texts.com (Oct 2023). Actively rolling up cross-platform messaging. Eric Migicovsky heads messaging.</t>
        </is>
      </c>
      <c r="G6" s="7" t="inlineStr">
        <is>
          <t>Beeper $125M (Apr 2024); Texts.com undisclosed (2023)</t>
        </is>
      </c>
      <c r="H6" s="7" t="inlineStr">
        <is>
          <t>$30–70M</t>
        </is>
      </c>
      <c r="I6" s="12" t="n">
        <v>5</v>
      </c>
      <c r="J6" s="12" t="n">
        <v>5</v>
      </c>
      <c r="K6" s="7" t="inlineStr">
        <is>
          <t>Direct: Matt Mullenweg / Eric Migicovsky. Public-facing, fast process.</t>
        </is>
      </c>
    </row>
    <row r="7" ht="60" customHeight="1">
      <c r="A7" s="7" t="n">
        <v>4</v>
      </c>
      <c r="B7" s="11" t="inlineStr">
        <is>
          <t>A</t>
        </is>
      </c>
      <c r="C7" s="7" t="inlineStr">
        <is>
          <t>Notion Labs</t>
        </is>
      </c>
      <c r="D7" s="7" t="inlineStr">
        <is>
          <t>Strategic — productivity + comms</t>
        </is>
      </c>
      <c r="E7" s="7" t="inlineStr">
        <is>
          <t>USA</t>
        </is>
      </c>
      <c r="F7" s="7" t="inlineStr">
        <is>
          <t>Bought Skiff Feb 2024 for IP/team, sunset product. Launching Notion Mail. Repeatable playbook for secure-comms IP.</t>
        </is>
      </c>
      <c r="G7" s="7" t="inlineStr">
        <is>
          <t>Skiff (Feb 2024) — est. $15–30M</t>
        </is>
      </c>
      <c r="H7" s="7" t="inlineStr">
        <is>
          <t>$20–40M</t>
        </is>
      </c>
      <c r="I7" s="12" t="n">
        <v>4</v>
      </c>
      <c r="J7" s="12" t="n">
        <v>4</v>
      </c>
      <c r="K7" s="7" t="inlineStr">
        <is>
          <t>Through Notion BD; intros via Skiff alumni or Notion's investor network (Index, Sequoia).</t>
        </is>
      </c>
    </row>
    <row r="8" ht="60" customHeight="1">
      <c r="A8" s="7" t="n">
        <v>5</v>
      </c>
      <c r="B8" s="13" t="inlineStr">
        <is>
          <t>B</t>
        </is>
      </c>
      <c r="C8" s="7" t="inlineStr">
        <is>
          <t>G42 / Presight / Inception (UAE)</t>
        </is>
      </c>
      <c r="D8" s="7" t="inlineStr">
        <is>
          <t>Sovereign AI / tech</t>
        </is>
      </c>
      <c r="E8" s="7" t="inlineStr">
        <is>
          <t>Abu Dhabi (UAE)</t>
        </is>
      </c>
      <c r="F8" s="7" t="inlineStr">
        <is>
          <t>Proven sovereign-messenger appetite (ToTok). Chairman Tahnoon bin Zayed = NSA. Largest cheques globally; strong Western IP appetite post-2024 divestment from China.</t>
        </is>
      </c>
      <c r="G8" s="7" t="inlineStr">
        <is>
          <t>Multiple AI / cyber acquisitions; ToTok (2019); divested China holdings 2024</t>
        </is>
      </c>
      <c r="H8" s="7" t="inlineStr">
        <is>
          <t>$80–200M</t>
        </is>
      </c>
      <c r="I8" s="12" t="n">
        <v>2</v>
      </c>
      <c r="J8" s="12" t="n">
        <v>4</v>
      </c>
      <c r="K8" s="7" t="inlineStr">
        <is>
          <t>Via investment banks with Gulf desks (Lazard, Rothschild, EFG-Hermes) or direct G42 corp dev.</t>
        </is>
      </c>
    </row>
    <row r="9" ht="60" customHeight="1">
      <c r="A9" s="7" t="n">
        <v>6</v>
      </c>
      <c r="B9" s="13" t="inlineStr">
        <is>
          <t>B</t>
        </is>
      </c>
      <c r="C9" s="7" t="inlineStr">
        <is>
          <t>EDGE Group (UAE)</t>
        </is>
      </c>
      <c r="D9" s="7" t="inlineStr">
        <is>
          <t>Sovereign defence-tech</t>
        </is>
      </c>
      <c r="E9" s="7" t="inlineStr">
        <is>
          <t>Abu Dhabi</t>
        </is>
      </c>
      <c r="F9" s="7" t="inlineStr">
        <is>
          <t>Tahnoon-linked defence holding; portfolio includes secure-comms (e.g., DarkMatter alumni). Mandated to buy Western defence-relevant IP.</t>
        </is>
      </c>
      <c r="G9" s="7" t="inlineStr">
        <is>
          <t>Multiple cyber/comms acquisitions 2022–2024 (BEACON RED, KATIM)</t>
        </is>
      </c>
      <c r="H9" s="7" t="inlineStr">
        <is>
          <t>$60–150M</t>
        </is>
      </c>
      <c r="I9" s="12" t="n">
        <v>3</v>
      </c>
      <c r="J9" s="12" t="n">
        <v>4</v>
      </c>
      <c r="K9" s="7" t="inlineStr">
        <is>
          <t>EDGE corp dev directly; via UAE-based M&amp;A advisors (Pillsbury, Al Tamimi).</t>
        </is>
      </c>
    </row>
    <row r="10" ht="60" customHeight="1">
      <c r="A10" s="7" t="n">
        <v>7</v>
      </c>
      <c r="B10" s="13" t="inlineStr">
        <is>
          <t>B</t>
        </is>
      </c>
      <c r="C10" s="7" t="inlineStr">
        <is>
          <t>STC Group / Saudi PIF / NEOM (KSA)</t>
        </is>
      </c>
      <c r="D10" s="7" t="inlineStr">
        <is>
          <t>Sovereign telco / Vision 2030</t>
        </is>
      </c>
      <c r="E10" s="7" t="inlineStr">
        <is>
          <t>Riyadh</t>
        </is>
      </c>
      <c r="F10" s="7" t="inlineStr">
        <is>
          <t>STC has 'Jawwy' super-app ambitions. PIF + NEOM funded multiple sovereign-tech bets (HUMAIN). KSA wants sovereign messenger as MS/Telegram alternative.</t>
        </is>
      </c>
      <c r="G10" s="7" t="inlineStr">
        <is>
          <t>HUMAIN-Qualcomm AI MOU (May 2025); STC investments in cloud + content</t>
        </is>
      </c>
      <c r="H10" s="7" t="inlineStr">
        <is>
          <t>$60–150M</t>
        </is>
      </c>
      <c r="I10" s="12" t="n">
        <v>2</v>
      </c>
      <c r="J10" s="12" t="n">
        <v>4</v>
      </c>
      <c r="K10" s="7" t="inlineStr">
        <is>
          <t>Via PIF-mandated advisors (Moelis Riyadh, Lazard); STC International M&amp;A team.</t>
        </is>
      </c>
    </row>
    <row r="11" ht="60" customHeight="1">
      <c r="A11" s="7" t="n">
        <v>8</v>
      </c>
      <c r="B11" s="13" t="inlineStr">
        <is>
          <t>B</t>
        </is>
      </c>
      <c r="C11" s="7" t="inlineStr">
        <is>
          <t>Türk Telekom + Turkcell (BiP consortium)</t>
        </is>
      </c>
      <c r="D11" s="7" t="inlineStr">
        <is>
          <t>Telco super-app</t>
        </is>
      </c>
      <c r="E11" s="7" t="inlineStr">
        <is>
          <t>Istanbul</t>
        </is>
      </c>
      <c r="F11" s="7" t="inlineStr">
        <is>
          <t>BiP has 65M downloads, ranks #1 in 6 Gulf countries. Consortium expanding aggressively; could buy EU-grade tech to upgrade vs. WhatsApp.</t>
        </is>
      </c>
      <c r="G11" s="7" t="inlineStr">
        <is>
          <t>BiP cross-operator consortium (2021); Turk Telekom $3bn concession 2025</t>
        </is>
      </c>
      <c r="H11" s="7" t="inlineStr">
        <is>
          <t>$20–50M</t>
        </is>
      </c>
      <c r="I11" s="12" t="n">
        <v>3</v>
      </c>
      <c r="J11" s="12" t="n">
        <v>3</v>
      </c>
      <c r="K11" s="7" t="inlineStr">
        <is>
          <t>Turkcell international BD; via İş Bankası or Vakıfbank corporate-finance arms.</t>
        </is>
      </c>
    </row>
    <row r="12" ht="60" customHeight="1">
      <c r="A12" s="7" t="n">
        <v>9</v>
      </c>
      <c r="B12" s="13" t="inlineStr">
        <is>
          <t>B</t>
        </is>
      </c>
      <c r="C12" s="7" t="inlineStr">
        <is>
          <t>Reliance Jio / Jio Platforms (India)</t>
        </is>
      </c>
      <c r="D12" s="7" t="inlineStr">
        <is>
          <t>Telco super-app</t>
        </is>
      </c>
      <c r="E12" s="7" t="inlineStr">
        <is>
          <t>Mumbai</t>
        </is>
      </c>
      <c r="F12" s="7" t="inlineStr">
        <is>
          <t>Jio building broader 'JioChat' ambitions; backed by Meta, Google, KKR investments in Jio Platforms 2020. Local messenger sovereignty in India context.</t>
        </is>
      </c>
      <c r="G12" s="7" t="inlineStr">
        <is>
          <t>Jio Platforms raised &gt;$20bn 2020; multiple consumer-tech acquisitions</t>
        </is>
      </c>
      <c r="H12" s="7" t="inlineStr">
        <is>
          <t>$30–80M</t>
        </is>
      </c>
      <c r="I12" s="12" t="n">
        <v>2</v>
      </c>
      <c r="J12" s="12" t="n">
        <v>3</v>
      </c>
      <c r="K12" s="7" t="inlineStr">
        <is>
          <t>Through Jio Platforms M&amp;A; via Reliance corporate-finance team (Goldman, Morgan Stanley relationships).</t>
        </is>
      </c>
    </row>
    <row r="13" ht="60" customHeight="1">
      <c r="A13" s="7" t="n">
        <v>10</v>
      </c>
      <c r="B13" s="13" t="inlineStr">
        <is>
          <t>B</t>
        </is>
      </c>
      <c r="C13" s="7" t="inlineStr">
        <is>
          <t>Telkomsel / GoTo Group (Indonesia)</t>
        </is>
      </c>
      <c r="D13" s="7" t="inlineStr">
        <is>
          <t>Telco / super-app</t>
        </is>
      </c>
      <c r="E13" s="7" t="inlineStr">
        <is>
          <t>Jakarta</t>
        </is>
      </c>
      <c r="F13" s="7" t="inlineStr">
        <is>
          <t>GoTo (Gojek-Tokopedia) building super-app; Telkomsel 65% owner. Domestic messenger sovereignty agenda.</t>
        </is>
      </c>
      <c r="G13" s="7" t="inlineStr">
        <is>
          <t>Telkomsel-GoTo merger 2021; ongoing super-app build</t>
        </is>
      </c>
      <c r="H13" s="7" t="inlineStr">
        <is>
          <t>$25–50M</t>
        </is>
      </c>
      <c r="I13" s="12" t="n">
        <v>2</v>
      </c>
      <c r="J13" s="12" t="n">
        <v>3</v>
      </c>
      <c r="K13" s="7" t="inlineStr">
        <is>
          <t>GoTo Group corp dev; Singtel-linked dealmakers (Telkomsel parent group).</t>
        </is>
      </c>
    </row>
    <row r="14" ht="60" customHeight="1">
      <c r="A14" s="7" t="n">
        <v>11</v>
      </c>
      <c r="B14" s="13" t="inlineStr">
        <is>
          <t>B</t>
        </is>
      </c>
      <c r="C14" s="7" t="inlineStr">
        <is>
          <t>Vietnam Posts &amp; Telecommunications Group (VNPT)</t>
        </is>
      </c>
      <c r="D14" s="7" t="inlineStr">
        <is>
          <t>State telco</t>
        </is>
      </c>
      <c r="E14" s="7" t="inlineStr">
        <is>
          <t>Hanoi</t>
        </is>
      </c>
      <c r="F14" s="7" t="inlineStr">
        <is>
          <t>Zalo (VNG) is dominant local messenger but state-owned VNPT wants own stack. Sovereignty agenda.</t>
        </is>
      </c>
      <c r="G14" s="7" t="inlineStr">
        <is>
          <t>VNPT digital transformation 2023–2025</t>
        </is>
      </c>
      <c r="H14" s="7" t="inlineStr">
        <is>
          <t>$15–35M</t>
        </is>
      </c>
      <c r="I14" s="12" t="n">
        <v>2</v>
      </c>
      <c r="J14" s="12" t="n">
        <v>2</v>
      </c>
      <c r="K14" s="7" t="inlineStr">
        <is>
          <t>Via Vietnam-focused M&amp;A boutiques; Embassy commercial attaché.</t>
        </is>
      </c>
    </row>
    <row r="15" ht="60" customHeight="1">
      <c r="A15" s="7" t="n">
        <v>12</v>
      </c>
      <c r="B15" s="13" t="inlineStr">
        <is>
          <t>B</t>
        </is>
      </c>
      <c r="C15" s="7" t="inlineStr">
        <is>
          <t>Atos / Eviden</t>
        </is>
      </c>
      <c r="D15" s="7" t="inlineStr">
        <is>
          <t>EU defence-tech</t>
        </is>
      </c>
      <c r="E15" s="7" t="inlineStr">
        <is>
          <t>Paris / Munich</t>
        </is>
      </c>
      <c r="F15" s="7" t="inlineStr">
        <is>
          <t>Restructured 2024; Eviden carved out for defence/cyber. Big Tech alternative narrative for EU sovereignty. Distressed = motivated.</t>
        </is>
      </c>
      <c r="G15" s="7" t="inlineStr">
        <is>
          <t>Multiple cyber divestments 2024; BDS sale to Airbus pending</t>
        </is>
      </c>
      <c r="H15" s="7" t="inlineStr">
        <is>
          <t>$15–40M</t>
        </is>
      </c>
      <c r="I15" s="12" t="n">
        <v>4</v>
      </c>
      <c r="J15" s="12" t="n">
        <v>3</v>
      </c>
      <c r="K15" s="7" t="inlineStr">
        <is>
          <t>Eviden corp dev directly; PJT Partners or Lazard (advisors on Atos restructuring).</t>
        </is>
      </c>
    </row>
    <row r="16" ht="60" customHeight="1">
      <c r="A16" s="7" t="n">
        <v>13</v>
      </c>
      <c r="B16" s="13" t="inlineStr">
        <is>
          <t>B</t>
        </is>
      </c>
      <c r="C16" s="7" t="inlineStr">
        <is>
          <t>Thales Group (DIS division)</t>
        </is>
      </c>
      <c r="D16" s="7" t="inlineStr">
        <is>
          <t>Defence / secure ID</t>
        </is>
      </c>
      <c r="E16" s="7" t="inlineStr">
        <is>
          <t>Paris</t>
        </is>
      </c>
      <c r="F16" s="7" t="inlineStr">
        <is>
          <t>Owns Gemalto (€4.8B, 2019); secure-comms for govts. Could integrate messenger into sovereign govt offering.</t>
        </is>
      </c>
      <c r="G16" s="7" t="inlineStr">
        <is>
          <t>Gemalto €4.8B (2019); Imperva €3.6B (2023)</t>
        </is>
      </c>
      <c r="H16" s="7" t="inlineStr">
        <is>
          <t>$30–70M</t>
        </is>
      </c>
      <c r="I16" s="12" t="n">
        <v>2</v>
      </c>
      <c r="J16" s="12" t="n">
        <v>3</v>
      </c>
      <c r="K16" s="7" t="inlineStr">
        <is>
          <t>Thales DIS BD; via French govt-linked M&amp;A advisors (Lazard Paris, Messier).</t>
        </is>
      </c>
    </row>
    <row r="17" ht="60" customHeight="1">
      <c r="A17" s="7" t="n">
        <v>14</v>
      </c>
      <c r="B17" s="13" t="inlineStr">
        <is>
          <t>B</t>
        </is>
      </c>
      <c r="C17" s="7" t="inlineStr">
        <is>
          <t>Leonardo S.p.A.</t>
        </is>
      </c>
      <c r="D17" s="7" t="inlineStr">
        <is>
          <t>Defence / cyber</t>
        </is>
      </c>
      <c r="E17" s="7" t="inlineStr">
        <is>
          <t>Rome</t>
        </is>
      </c>
      <c r="F17" s="7" t="inlineStr">
        <is>
          <t>EU's #2 defence prime; growing cyber division. Has secure-comms for militaries. Italian state shareholder = sovereign mandate.</t>
        </is>
      </c>
      <c r="G17" s="7" t="inlineStr">
        <is>
          <t>Cyber acquisitions in CY Lab Italy network 2022–2024</t>
        </is>
      </c>
      <c r="H17" s="7" t="inlineStr">
        <is>
          <t>$20–50M</t>
        </is>
      </c>
      <c r="I17" s="12" t="n">
        <v>2</v>
      </c>
      <c r="J17" s="12" t="n">
        <v>3</v>
      </c>
      <c r="K17" s="7" t="inlineStr">
        <is>
          <t>Leonardo Cyber &amp; Security Solutions M&amp;A; via Mediobanca.</t>
        </is>
      </c>
    </row>
    <row r="18" ht="60" customHeight="1">
      <c r="A18" s="7" t="n">
        <v>15</v>
      </c>
      <c r="B18" s="13" t="inlineStr">
        <is>
          <t>B</t>
        </is>
      </c>
      <c r="C18" s="7" t="inlineStr">
        <is>
          <t>Indra Sistemas</t>
        </is>
      </c>
      <c r="D18" s="7" t="inlineStr">
        <is>
          <t>Defence / govt-tech</t>
        </is>
      </c>
      <c r="E18" s="7" t="inlineStr">
        <is>
          <t>Madrid</t>
        </is>
      </c>
      <c r="F18" s="7" t="inlineStr">
        <is>
          <t>Spanish state-aligned; defence + transport + secure comms. Mandated to consolidate EU sovereign-tech.</t>
        </is>
      </c>
      <c r="G18" s="7" t="inlineStr">
        <is>
          <t>Smaller bolt-on cyber acquisitions 2022–2024</t>
        </is>
      </c>
      <c r="H18" s="7" t="inlineStr">
        <is>
          <t>$15–35M</t>
        </is>
      </c>
      <c r="I18" s="12" t="n">
        <v>2</v>
      </c>
      <c r="J18" s="12" t="n">
        <v>2</v>
      </c>
      <c r="K18" s="7" t="inlineStr">
        <is>
          <t>Indra defence M&amp;A directly; via Banco Santander / BBVA M&amp;A teams.</t>
        </is>
      </c>
    </row>
    <row r="19" ht="60" customHeight="1">
      <c r="A19" s="7" t="n">
        <v>16</v>
      </c>
      <c r="B19" s="13" t="inlineStr">
        <is>
          <t>B</t>
        </is>
      </c>
      <c r="C19" s="7" t="inlineStr">
        <is>
          <t>Rheinmetall / Hensoldt / KMW (Germany)</t>
        </is>
      </c>
      <c r="D19" s="7" t="inlineStr">
        <is>
          <t>Defence prime</t>
        </is>
      </c>
      <c r="E19" s="7" t="inlineStr">
        <is>
          <t>Düsseldorf</t>
        </is>
      </c>
      <c r="F19" s="7" t="inlineStr">
        <is>
          <t>German defence reaching for sovereign cyber. Hensoldt growing through M&amp;A.</t>
        </is>
      </c>
      <c r="G19" s="7" t="inlineStr">
        <is>
          <t>Hensoldt acquired ESG 2023 (~€730M); Rheinmetall multiple defence-tech buys 2024</t>
        </is>
      </c>
      <c r="H19" s="7" t="inlineStr">
        <is>
          <t>$25–60M</t>
        </is>
      </c>
      <c r="I19" s="12" t="n">
        <v>2</v>
      </c>
      <c r="J19" s="12" t="n">
        <v>3</v>
      </c>
      <c r="K19" s="7" t="inlineStr">
        <is>
          <t>Hensoldt/Rheinmetall corp dev; Berenberg / Deutsche Bank advisors.</t>
        </is>
      </c>
    </row>
    <row r="20" ht="60" customHeight="1">
      <c r="A20" s="7" t="n">
        <v>17</v>
      </c>
      <c r="B20" s="13" t="inlineStr">
        <is>
          <t>B</t>
        </is>
      </c>
      <c r="C20" s="7" t="inlineStr">
        <is>
          <t>Rohde &amp; Schwarz Cybersecurity</t>
        </is>
      </c>
      <c r="D20" s="7" t="inlineStr">
        <is>
          <t>Defence / RF + cyber</t>
        </is>
      </c>
      <c r="E20" s="7" t="inlineStr">
        <is>
          <t>Munich</t>
        </is>
      </c>
      <c r="F20" s="7" t="inlineStr">
        <is>
          <t>Private German group; has secure-comms (Topsec / R&amp;S Trusted Communications). Mandated to expand cyber portfolio.</t>
        </is>
      </c>
      <c r="G20" s="7" t="inlineStr">
        <is>
          <t>Multiple cyber acquisitions (LANCOM, gateprotect)</t>
        </is>
      </c>
      <c r="H20" s="7" t="inlineStr">
        <is>
          <t>$15–40M</t>
        </is>
      </c>
      <c r="I20" s="12" t="n">
        <v>3</v>
      </c>
      <c r="J20" s="12" t="n">
        <v>3</v>
      </c>
      <c r="K20" s="7" t="inlineStr">
        <is>
          <t>Cybersecurity division BD directly; private — needs direct intro via DE defence ecosystem.</t>
        </is>
      </c>
    </row>
    <row r="21" ht="60" customHeight="1">
      <c r="A21" s="7" t="n">
        <v>18</v>
      </c>
      <c r="B21" s="13" t="inlineStr">
        <is>
          <t>B</t>
        </is>
      </c>
      <c r="C21" s="7" t="inlineStr">
        <is>
          <t>BAE Systems Digital Intelligence</t>
        </is>
      </c>
      <c r="D21" s="7" t="inlineStr">
        <is>
          <t>Defence / cyber</t>
        </is>
      </c>
      <c r="E21" s="7" t="inlineStr">
        <is>
          <t>UK</t>
        </is>
      </c>
      <c r="F21" s="7" t="inlineStr">
        <is>
          <t>Acquired Detica (2008); maintains secure-comms for UK MoD, GCHQ. UK sovereignty agenda post-Brexit.</t>
        </is>
      </c>
      <c r="G21" s="7" t="inlineStr">
        <is>
          <t>Detica £531M (2008); Eurostep 2022; In-Space Missions 2021</t>
        </is>
      </c>
      <c r="H21" s="7" t="inlineStr">
        <is>
          <t>$20–50M</t>
        </is>
      </c>
      <c r="I21" s="12" t="n">
        <v>2</v>
      </c>
      <c r="J21" s="12" t="n">
        <v>3</v>
      </c>
      <c r="K21" s="7" t="inlineStr">
        <is>
          <t>BAE DI corp dev; via UK MoD ecosystem (Defence &amp; Security Accelerator).</t>
        </is>
      </c>
    </row>
    <row r="22" ht="60" customHeight="1">
      <c r="A22" s="7" t="n">
        <v>19</v>
      </c>
      <c r="B22" s="13" t="inlineStr">
        <is>
          <t>B</t>
        </is>
      </c>
      <c r="C22" s="7" t="inlineStr">
        <is>
          <t>L3Harris Technologies</t>
        </is>
      </c>
      <c r="D22" s="7" t="inlineStr">
        <is>
          <t>US defence prime</t>
        </is>
      </c>
      <c r="E22" s="7" t="inlineStr">
        <is>
          <t>Florida</t>
        </is>
      </c>
      <c r="F22" s="7" t="inlineStr">
        <is>
          <t>Built tactical-comms business; growth via secure-comms M&amp;A. Less likely for EU IP but possible if FCC/CFIUS friendly.</t>
        </is>
      </c>
      <c r="G22" s="7" t="inlineStr">
        <is>
          <t>Aerojet Rocketdyne (2023, $4.7B); multiple comms bolt-ons</t>
        </is>
      </c>
      <c r="H22" s="7" t="inlineStr">
        <is>
          <t>$30–70M</t>
        </is>
      </c>
      <c r="I22" s="12" t="n">
        <v>1</v>
      </c>
      <c r="J22" s="12" t="n">
        <v>2</v>
      </c>
      <c r="K22" s="7" t="inlineStr">
        <is>
          <t>L3Harris corp dev; via Houlihan Lokey US defence team. CFIUS-heavy.</t>
        </is>
      </c>
    </row>
    <row r="23" ht="60" customHeight="1">
      <c r="A23" s="7" t="n">
        <v>20</v>
      </c>
      <c r="B23" s="14" t="inlineStr">
        <is>
          <t>C</t>
        </is>
      </c>
      <c r="C23" s="7" t="inlineStr">
        <is>
          <t>BlackBerry Ltd (Secure Comms)</t>
        </is>
      </c>
      <c r="D23" s="7" t="inlineStr">
        <is>
          <t>Enterprise secure comms</t>
        </is>
      </c>
      <c r="E23" s="7" t="inlineStr">
        <is>
          <t>Waterloo (Canada)</t>
        </is>
      </c>
      <c r="F23" s="7" t="inlineStr">
        <is>
          <t>Owns SecuSUITE / Secusmart (acquired 2014). Activist pressure for growth. Refreshing secure-comms portfolio for govt market.</t>
        </is>
      </c>
      <c r="G23" s="7" t="inlineStr">
        <is>
          <t>Cylance $1.4B (2019); Secusmart undisclosed (2014, est. €100M)</t>
        </is>
      </c>
      <c r="H23" s="7" t="inlineStr">
        <is>
          <t>$20–45M</t>
        </is>
      </c>
      <c r="I23" s="12" t="n">
        <v>4</v>
      </c>
      <c r="J23" s="12" t="n">
        <v>4</v>
      </c>
      <c r="K23" s="7" t="inlineStr">
        <is>
          <t>BlackBerry corp dev / John Giamatteo (CEO). Public, fast-decision.</t>
        </is>
      </c>
    </row>
    <row r="24" ht="60" customHeight="1">
      <c r="A24" s="7" t="n">
        <v>21</v>
      </c>
      <c r="B24" s="14" t="inlineStr">
        <is>
          <t>C</t>
        </is>
      </c>
      <c r="C24" s="7" t="inlineStr">
        <is>
          <t>Symphony Communication Services</t>
        </is>
      </c>
      <c r="D24" s="7" t="inlineStr">
        <is>
          <t>B2B finance comms</t>
        </is>
      </c>
      <c r="E24" s="7" t="inlineStr">
        <is>
          <t>USA / UK</t>
        </is>
      </c>
      <c r="F24" s="7" t="inlineStr">
        <is>
          <t>Bank-owned secure messenger; $1.4B valuation, 600K users, $198M rev (2024). Wants consumer-grade stack to expand TAM.</t>
        </is>
      </c>
      <c r="G24" s="7" t="inlineStr">
        <is>
          <t>Perzo (2014, $66M founding); 14 banks own shares</t>
        </is>
      </c>
      <c r="H24" s="7" t="inlineStr">
        <is>
          <t>$25–50M</t>
        </is>
      </c>
      <c r="I24" s="12" t="n">
        <v>3</v>
      </c>
      <c r="J24" s="12" t="n">
        <v>3</v>
      </c>
      <c r="K24" s="7" t="inlineStr">
        <is>
          <t>Symphony corp dev; via Goldman / JPM (shareholders).</t>
        </is>
      </c>
    </row>
    <row r="25" ht="60" customHeight="1">
      <c r="A25" s="7" t="n">
        <v>22</v>
      </c>
      <c r="B25" s="14" t="inlineStr">
        <is>
          <t>C</t>
        </is>
      </c>
      <c r="C25" s="7" t="inlineStr">
        <is>
          <t>Cisco (Webex / Security)</t>
        </is>
      </c>
      <c r="D25" s="7" t="inlineStr">
        <is>
          <t>Enterprise UC</t>
        </is>
      </c>
      <c r="E25" s="7" t="inlineStr">
        <is>
          <t>San Jose</t>
        </is>
      </c>
      <c r="F25" s="7" t="inlineStr">
        <is>
          <t>Webex needs differentiation vs Teams/Zoom; Cisco aggressively buying security (Splunk $28B). Secure-messenger fits.</t>
        </is>
      </c>
      <c r="G25" s="7" t="inlineStr">
        <is>
          <t>Splunk $28B (2024); Isovalent (2024); Lightspin (2023)</t>
        </is>
      </c>
      <c r="H25" s="7" t="inlineStr">
        <is>
          <t>$30–70M</t>
        </is>
      </c>
      <c r="I25" s="12" t="n">
        <v>2</v>
      </c>
      <c r="J25" s="12" t="n">
        <v>3</v>
      </c>
      <c r="K25" s="7" t="inlineStr">
        <is>
          <t>Cisco corp dev / Webex BD. Long sales cycle but real.</t>
        </is>
      </c>
    </row>
    <row r="26" ht="60" customHeight="1">
      <c r="A26" s="7" t="n">
        <v>23</v>
      </c>
      <c r="B26" s="14" t="inlineStr">
        <is>
          <t>C</t>
        </is>
      </c>
      <c r="C26" s="7" t="inlineStr">
        <is>
          <t>RingCentral</t>
        </is>
      </c>
      <c r="D26" s="7" t="inlineStr">
        <is>
          <t>Enterprise UC</t>
        </is>
      </c>
      <c r="E26" s="7" t="inlineStr">
        <is>
          <t>USA</t>
        </is>
      </c>
      <c r="F26" s="7" t="inlineStr">
        <is>
          <t>Public-co competing with Zoom/MS; messaging differentiation needed. Net cash + activist pressure.</t>
        </is>
      </c>
      <c r="G26" s="7" t="inlineStr">
        <is>
          <t>Hopin assets (2023); smaller messaging bolt-ons</t>
        </is>
      </c>
      <c r="H26" s="7" t="inlineStr">
        <is>
          <t>$15–35M</t>
        </is>
      </c>
      <c r="I26" s="12" t="n">
        <v>3</v>
      </c>
      <c r="J26" s="12" t="n">
        <v>2</v>
      </c>
      <c r="K26" s="7" t="inlineStr">
        <is>
          <t>RingCentral corp dev; via JP Morgan.</t>
        </is>
      </c>
    </row>
    <row r="27" ht="60" customHeight="1">
      <c r="A27" s="7" t="n">
        <v>24</v>
      </c>
      <c r="B27" s="14" t="inlineStr">
        <is>
          <t>C</t>
        </is>
      </c>
      <c r="C27" s="7" t="inlineStr">
        <is>
          <t>8x8 Inc.</t>
        </is>
      </c>
      <c r="D27" s="7" t="inlineStr">
        <is>
          <t>Enterprise UC</t>
        </is>
      </c>
      <c r="E27" s="7" t="inlineStr">
        <is>
          <t>USA</t>
        </is>
      </c>
      <c r="F27" s="7" t="inlineStr">
        <is>
          <t>Smaller player; integrated UC suite. Less likely cheque size but possible for IP+team only.</t>
        </is>
      </c>
      <c r="G27" s="7" t="inlineStr">
        <is>
          <t>Wavecell $125M (2019); Atos UCaaS (2024)</t>
        </is>
      </c>
      <c r="H27" s="7" t="inlineStr">
        <is>
          <t>$10–25M</t>
        </is>
      </c>
      <c r="I27" s="12" t="n">
        <v>3</v>
      </c>
      <c r="J27" s="12" t="n">
        <v>2</v>
      </c>
      <c r="K27" s="7" t="inlineStr">
        <is>
          <t>8x8 corp dev directly.</t>
        </is>
      </c>
    </row>
    <row r="28" ht="60" customHeight="1">
      <c r="A28" s="7" t="n">
        <v>25</v>
      </c>
      <c r="B28" s="14" t="inlineStr">
        <is>
          <t>C</t>
        </is>
      </c>
      <c r="C28" s="7" t="inlineStr">
        <is>
          <t>Mitel Networks</t>
        </is>
      </c>
      <c r="D28" s="7" t="inlineStr">
        <is>
          <t>Enterprise UC / PE-owned</t>
        </is>
      </c>
      <c r="E28" s="7" t="inlineStr">
        <is>
          <t>Canada</t>
        </is>
      </c>
      <c r="F28" s="7" t="inlineStr">
        <is>
          <t>PE-owned (Searchlight); restructuring. Could acquire IP cheaply to refresh product.</t>
        </is>
      </c>
      <c r="G28" s="7" t="inlineStr">
        <is>
          <t>Unify €0 (2024 take-on from Atos)</t>
        </is>
      </c>
      <c r="H28" s="7" t="inlineStr">
        <is>
          <t>$8–20M</t>
        </is>
      </c>
      <c r="I28" s="12" t="n">
        <v>3</v>
      </c>
      <c r="J28" s="12" t="n">
        <v>2</v>
      </c>
      <c r="K28" s="7" t="inlineStr">
        <is>
          <t>Mitel CEO Tarun Loomba / Searchlight Capital.</t>
        </is>
      </c>
    </row>
    <row r="29" ht="60" customHeight="1">
      <c r="A29" s="7" t="n">
        <v>26</v>
      </c>
      <c r="B29" s="14" t="inlineStr">
        <is>
          <t>C</t>
        </is>
      </c>
      <c r="C29" s="7" t="inlineStr">
        <is>
          <t>Avaya (PE-owned, RingCentral partnership)</t>
        </is>
      </c>
      <c r="D29" s="7" t="inlineStr">
        <is>
          <t>Enterprise UC</t>
        </is>
      </c>
      <c r="E29" s="7" t="inlineStr">
        <is>
          <t>USA</t>
        </is>
      </c>
      <c r="F29" s="7" t="inlineStr">
        <is>
          <t>Post-Ch11; new ownership. Less likely buyer but possible for secure-comms differentiation.</t>
        </is>
      </c>
      <c r="G29" s="7" t="inlineStr">
        <is>
          <t>Post-restructuring 2024; partnered RingCentral</t>
        </is>
      </c>
      <c r="H29" s="7" t="inlineStr">
        <is>
          <t>$5–15M</t>
        </is>
      </c>
      <c r="I29" s="12" t="n">
        <v>2</v>
      </c>
      <c r="J29" s="12" t="n">
        <v>1</v>
      </c>
      <c r="K29" s="7" t="inlineStr">
        <is>
          <t>Avaya new mgmt; via Centerbridge or others.</t>
        </is>
      </c>
    </row>
    <row r="30" ht="60" customHeight="1">
      <c r="A30" s="7" t="n">
        <v>27</v>
      </c>
      <c r="B30" s="14" t="inlineStr">
        <is>
          <t>C</t>
        </is>
      </c>
      <c r="C30" s="7" t="inlineStr">
        <is>
          <t>Zoom Communications</t>
        </is>
      </c>
      <c r="D30" s="7" t="inlineStr">
        <is>
          <t>Enterprise UC + AI</t>
        </is>
      </c>
      <c r="E30" s="7" t="inlineStr">
        <is>
          <t>USA</t>
        </is>
      </c>
      <c r="F30" s="7" t="inlineStr">
        <is>
          <t>Zoom Phone + Team Chat needs differentiation; net cash $6B+. Has Keybase team (acquired 2020) but underused.</t>
        </is>
      </c>
      <c r="G30" s="7" t="inlineStr">
        <is>
          <t>Keybase (2020); Five9 attempt $14.7B (2021, failed); Workvivo (2023)</t>
        </is>
      </c>
      <c r="H30" s="7" t="inlineStr">
        <is>
          <t>$30–80M</t>
        </is>
      </c>
      <c r="I30" s="12" t="n">
        <v>3</v>
      </c>
      <c r="J30" s="12" t="n">
        <v>3</v>
      </c>
      <c r="K30" s="7" t="inlineStr">
        <is>
          <t>Zoom corp dev; CEO Eric Yuan public process. Fast decision-maker.</t>
        </is>
      </c>
    </row>
    <row r="31" ht="60" customHeight="1">
      <c r="A31" s="7" t="n">
        <v>28</v>
      </c>
      <c r="B31" s="15" t="inlineStr">
        <is>
          <t>D</t>
        </is>
      </c>
      <c r="C31" s="7" t="inlineStr">
        <is>
          <t>Nord Security (NordVPN, NordPass, NordLayer)</t>
        </is>
      </c>
      <c r="D31" s="7" t="inlineStr">
        <is>
          <t>Privacy suite</t>
        </is>
      </c>
      <c r="E31" s="7" t="inlineStr">
        <is>
          <t>Vilnius (Lithuania)</t>
        </is>
      </c>
      <c r="F31" s="7" t="inlineStr">
        <is>
          <t>Raised $600M at $3B valuation (Apr 2024). EU-based, suite-builder strategy. No messenger yet. Cleanest cultural fit after Schwarz/Proton.</t>
        </is>
      </c>
      <c r="G31" s="7" t="inlineStr">
        <is>
          <t>Cyberium (2022); Atlas VPN (2022); Surfshark merger (2022)</t>
        </is>
      </c>
      <c r="H31" s="7" t="inlineStr">
        <is>
          <t>$25–45M</t>
        </is>
      </c>
      <c r="I31" s="12" t="n">
        <v>4</v>
      </c>
      <c r="J31" s="12" t="n">
        <v>4</v>
      </c>
      <c r="K31" s="7" t="inlineStr">
        <is>
          <t>Direct: Tom Okman / Eimantas Sabaliauskas (Nord Sec exec team).</t>
        </is>
      </c>
    </row>
    <row r="32" ht="60" customHeight="1">
      <c r="A32" s="7" t="n">
        <v>29</v>
      </c>
      <c r="B32" s="15" t="inlineStr">
        <is>
          <t>D</t>
        </is>
      </c>
      <c r="C32" s="7" t="inlineStr">
        <is>
          <t>Surfshark / Kape Technologies</t>
        </is>
      </c>
      <c r="D32" s="7" t="inlineStr">
        <is>
          <t>Consumer VPN+privacy roll-up</t>
        </is>
      </c>
      <c r="E32" s="7" t="inlineStr">
        <is>
          <t>London / Cyprus</t>
        </is>
      </c>
      <c r="F32" s="7" t="inlineStr">
        <is>
          <t>Kape rolled up VPN+privacy; private since 2024. Cash-rich; messenger could be next ad-on.</t>
        </is>
      </c>
      <c r="G32" s="7" t="inlineStr">
        <is>
          <t>ExpressVPN $936M (2021); CyberGhost; Private Internet Access</t>
        </is>
      </c>
      <c r="H32" s="7" t="inlineStr">
        <is>
          <t>$15–35M</t>
        </is>
      </c>
      <c r="I32" s="12" t="n">
        <v>3</v>
      </c>
      <c r="J32" s="12" t="n">
        <v>3</v>
      </c>
      <c r="K32" s="7" t="inlineStr">
        <is>
          <t>Kape (now private) CEO Ido Erlichman; via Unikmind capital.</t>
        </is>
      </c>
    </row>
    <row r="33" ht="60" customHeight="1">
      <c r="A33" s="7" t="n">
        <v>30</v>
      </c>
      <c r="B33" s="15" t="inlineStr">
        <is>
          <t>D</t>
        </is>
      </c>
      <c r="C33" s="7" t="inlineStr">
        <is>
          <t>Mullvad (PrivateInternetAccess alumni)</t>
        </is>
      </c>
      <c r="D33" s="7" t="inlineStr">
        <is>
          <t>Privacy boutique</t>
        </is>
      </c>
      <c r="E33" s="7" t="inlineStr">
        <is>
          <t>Sweden</t>
        </is>
      </c>
      <c r="F33" s="7" t="inlineStr">
        <is>
          <t>Small, privacy-pure, unlikely big cheque but ideological fit. Long shot.</t>
        </is>
      </c>
      <c r="G33" s="7" t="inlineStr">
        <is>
          <t>Public no major M&amp;A history</t>
        </is>
      </c>
      <c r="H33" s="7" t="inlineStr">
        <is>
          <t>$3–10M</t>
        </is>
      </c>
      <c r="I33" s="12" t="n">
        <v>2</v>
      </c>
      <c r="J33" s="12" t="n">
        <v>1</v>
      </c>
      <c r="K33" s="7" t="inlineStr">
        <is>
          <t>Direct to Daniel Berntsson / founders.</t>
        </is>
      </c>
    </row>
    <row r="34" ht="60" customHeight="1">
      <c r="A34" s="7" t="n">
        <v>31</v>
      </c>
      <c r="B34" s="15" t="inlineStr">
        <is>
          <t>D</t>
        </is>
      </c>
      <c r="C34" s="7" t="inlineStr">
        <is>
          <t>Tutanota (Tuta Mail)</t>
        </is>
      </c>
      <c r="D34" s="7" t="inlineStr">
        <is>
          <t>Privacy email</t>
        </is>
      </c>
      <c r="E34" s="7" t="inlineStr">
        <is>
          <t>Hannover</t>
        </is>
      </c>
      <c r="F34" s="7" t="inlineStr">
        <is>
          <t>EU privacy player, no messenger. Smaller balance sheet; co-acquisition with PE could work.</t>
        </is>
      </c>
      <c r="G34" s="7" t="inlineStr">
        <is>
          <t>Bootstrapped; no M&amp;A</t>
        </is>
      </c>
      <c r="H34" s="7" t="inlineStr">
        <is>
          <t>$5–15M</t>
        </is>
      </c>
      <c r="I34" s="12" t="n">
        <v>2</v>
      </c>
      <c r="J34" s="12" t="n">
        <v>2</v>
      </c>
      <c r="K34" s="7" t="inlineStr">
        <is>
          <t>Founders Matthias Pfau / Arne Möhle directly.</t>
        </is>
      </c>
    </row>
    <row r="35" ht="60" customHeight="1">
      <c r="A35" s="7" t="n">
        <v>32</v>
      </c>
      <c r="B35" s="15" t="inlineStr">
        <is>
          <t>D</t>
        </is>
      </c>
      <c r="C35" s="7" t="inlineStr">
        <is>
          <t>DuckDuckGo</t>
        </is>
      </c>
      <c r="D35" s="7" t="inlineStr">
        <is>
          <t>Privacy consumer</t>
        </is>
      </c>
      <c r="E35" s="7" t="inlineStr">
        <is>
          <t>USA</t>
        </is>
      </c>
      <c r="F35" s="7" t="inlineStr">
        <is>
          <t>Search + browser; expanding privacy stack. Cash-rich, unlikely first move into messenger but possible.</t>
        </is>
      </c>
      <c r="G35" s="7" t="inlineStr">
        <is>
          <t>No major M&amp;A history</t>
        </is>
      </c>
      <c r="H35" s="7" t="inlineStr">
        <is>
          <t>$15–35M</t>
        </is>
      </c>
      <c r="I35" s="12" t="n">
        <v>2</v>
      </c>
      <c r="J35" s="12" t="n">
        <v>2</v>
      </c>
      <c r="K35" s="7" t="inlineStr">
        <is>
          <t>Gabriel Weinberg (CEO) directly.</t>
        </is>
      </c>
    </row>
    <row r="36" ht="60" customHeight="1">
      <c r="A36" s="7" t="n">
        <v>33</v>
      </c>
      <c r="B36" s="15" t="inlineStr">
        <is>
          <t>D</t>
        </is>
      </c>
      <c r="C36" s="7" t="inlineStr">
        <is>
          <t>Brave Software</t>
        </is>
      </c>
      <c r="D36" s="7" t="inlineStr">
        <is>
          <t>Privacy browser + Web3</t>
        </is>
      </c>
      <c r="E36" s="7" t="inlineStr">
        <is>
          <t>USA</t>
        </is>
      </c>
      <c r="F36" s="7" t="inlineStr">
        <is>
          <t>Has Brave Talk (Jitsi); doesn't have messenger. Could complement via crypto angle (BAT).</t>
        </is>
      </c>
      <c r="G36" s="7" t="inlineStr">
        <is>
          <t>Tailcat / Brave Search (2021)</t>
        </is>
      </c>
      <c r="H36" s="7" t="inlineStr">
        <is>
          <t>$10–25M</t>
        </is>
      </c>
      <c r="I36" s="12" t="n">
        <v>3</v>
      </c>
      <c r="J36" s="12" t="n">
        <v>2</v>
      </c>
      <c r="K36" s="7" t="inlineStr">
        <is>
          <t>Brendan Eich (CEO) directly. Crypto-native diligence.</t>
        </is>
      </c>
    </row>
    <row r="37" ht="60" customHeight="1">
      <c r="A37" s="7" t="n">
        <v>34</v>
      </c>
      <c r="B37" s="16" t="inlineStr">
        <is>
          <t>E</t>
        </is>
      </c>
      <c r="C37" s="7" t="inlineStr">
        <is>
          <t>TON Foundation / Telegram Open Network</t>
        </is>
      </c>
      <c r="D37" s="7" t="inlineStr">
        <is>
          <t>Crypto ecosystem fund</t>
        </is>
      </c>
      <c r="E37" s="7" t="inlineStr">
        <is>
          <t>Switzerland (Zug)</t>
        </is>
      </c>
      <c r="F37" s="7" t="inlineStr">
        <is>
          <t>Has $1B+ ecosystem fund; raised $400M Mar 2025 (Sequoia, Ribbit, Benchmark). Plan B Telegram-aligned messenger could be valuable hedge or layer.</t>
        </is>
      </c>
      <c r="G37" s="7" t="inlineStr">
        <is>
          <t>$400M token round (Mar 2025); xAI $200M into Telegram (2025)</t>
        </is>
      </c>
      <c r="H37" s="7" t="inlineStr">
        <is>
          <t>$30–80M</t>
        </is>
      </c>
      <c r="I37" s="12" t="n">
        <v>3</v>
      </c>
      <c r="J37" s="12" t="n">
        <v>3</v>
      </c>
      <c r="K37" s="7" t="inlineStr">
        <is>
          <t>TON Foundation BD; via Sequoia or Ribbit (LPs).</t>
        </is>
      </c>
    </row>
    <row r="38" ht="60" customHeight="1">
      <c r="A38" s="7" t="n">
        <v>35</v>
      </c>
      <c r="B38" s="16" t="inlineStr">
        <is>
          <t>E</t>
        </is>
      </c>
      <c r="C38" s="7" t="inlineStr">
        <is>
          <t>Solana Foundation</t>
        </is>
      </c>
      <c r="D38" s="7" t="inlineStr">
        <is>
          <t>L1 ecosystem</t>
        </is>
      </c>
      <c r="E38" s="7" t="inlineStr">
        <is>
          <t>Switzerland</t>
        </is>
      </c>
      <c r="F38" s="7" t="inlineStr">
        <is>
          <t>Aggressive ecosystem development; consumer-app focus (Solana Mobile). Could fund messenger layer.</t>
        </is>
      </c>
      <c r="G38" s="7" t="inlineStr">
        <is>
          <t>Multiple grants; no large cash M&amp;A history</t>
        </is>
      </c>
      <c r="H38" s="7" t="inlineStr">
        <is>
          <t>$10–30M</t>
        </is>
      </c>
      <c r="I38" s="12" t="n">
        <v>2</v>
      </c>
      <c r="J38" s="12" t="n">
        <v>2</v>
      </c>
      <c r="K38" s="7" t="inlineStr">
        <is>
          <t>Solana Foundation grants / Anatoly Yakovenko.</t>
        </is>
      </c>
    </row>
    <row r="39" ht="60" customHeight="1">
      <c r="A39" s="7" t="n">
        <v>36</v>
      </c>
      <c r="B39" s="16" t="inlineStr">
        <is>
          <t>E</t>
        </is>
      </c>
      <c r="C39" s="7" t="inlineStr">
        <is>
          <t>Polkadot / Web3 Foundation</t>
        </is>
      </c>
      <c r="D39" s="7" t="inlineStr">
        <is>
          <t>L1 ecosystem</t>
        </is>
      </c>
      <c r="E39" s="7" t="inlineStr">
        <is>
          <t>Zug</t>
        </is>
      </c>
      <c r="F39" s="7" t="inlineStr">
        <is>
          <t>EU-friendly; sovereign-decentralisation thesis. Less M&amp;A history.</t>
        </is>
      </c>
      <c r="G39" s="7" t="inlineStr">
        <is>
          <t>Grant programs only</t>
        </is>
      </c>
      <c r="H39" s="7" t="inlineStr">
        <is>
          <t>$5–20M</t>
        </is>
      </c>
      <c r="I39" s="12" t="n">
        <v>2</v>
      </c>
      <c r="J39" s="12" t="n">
        <v>1</v>
      </c>
      <c r="K39" s="7" t="inlineStr">
        <is>
          <t>Web3 Foundation / Gavin Wood.</t>
        </is>
      </c>
    </row>
    <row r="40" ht="60" customHeight="1">
      <c r="A40" s="7" t="n">
        <v>37</v>
      </c>
      <c r="B40" s="16" t="inlineStr">
        <is>
          <t>E</t>
        </is>
      </c>
      <c r="C40" s="7" t="inlineStr">
        <is>
          <t>Sui / Mysten Labs / Aptos</t>
        </is>
      </c>
      <c r="D40" s="7" t="inlineStr">
        <is>
          <t>L1 Move-based</t>
        </is>
      </c>
      <c r="E40" s="7" t="inlineStr">
        <is>
          <t>USA</t>
        </is>
      </c>
      <c r="F40" s="7" t="inlineStr">
        <is>
          <t>Cash-rich (raised $300M+ each); consumer-app push. Long-shot but possible.</t>
        </is>
      </c>
      <c r="G40" s="7" t="inlineStr">
        <is>
          <t>Various small grants</t>
        </is>
      </c>
      <c r="H40" s="7" t="inlineStr">
        <is>
          <t>$10–25M</t>
        </is>
      </c>
      <c r="I40" s="12" t="n">
        <v>2</v>
      </c>
      <c r="J40" s="12" t="n">
        <v>2</v>
      </c>
      <c r="K40" s="7" t="inlineStr">
        <is>
          <t>Mysten Labs corp dev; via a16z (investor).</t>
        </is>
      </c>
    </row>
    <row r="41" ht="60" customHeight="1">
      <c r="A41" s="7" t="n">
        <v>38</v>
      </c>
      <c r="B41" s="17" t="inlineStr">
        <is>
          <t>F</t>
        </is>
      </c>
      <c r="C41" s="7" t="inlineStr">
        <is>
          <t>Comitis Capital</t>
        </is>
      </c>
      <c r="D41" s="7" t="inlineStr">
        <is>
          <t>PE — secure comms</t>
        </is>
      </c>
      <c r="E41" s="7" t="inlineStr">
        <is>
          <t>Germany</t>
        </is>
      </c>
      <c r="F41" s="7" t="inlineStr">
        <is>
          <t>Just acquired Threema (Jan 2026). Building EU secure-comms platform. Most likely PE buyer.</t>
        </is>
      </c>
      <c r="G41" s="7" t="inlineStr">
        <is>
          <t>Threema (Jan 2026, undisclosed, est. €30–60M); other DE software</t>
        </is>
      </c>
      <c r="H41" s="7" t="inlineStr">
        <is>
          <t>$15–35M</t>
        </is>
      </c>
      <c r="I41" s="12" t="n">
        <v>5</v>
      </c>
      <c r="J41" s="12" t="n">
        <v>4</v>
      </c>
      <c r="K41" s="7" t="inlineStr">
        <is>
          <t>Comitis Capital partners directly; via PWC / KPMG DACH M&amp;A.</t>
        </is>
      </c>
    </row>
    <row r="42" ht="60" customHeight="1">
      <c r="A42" s="7" t="n">
        <v>39</v>
      </c>
      <c r="B42" s="17" t="inlineStr">
        <is>
          <t>F</t>
        </is>
      </c>
      <c r="C42" s="7" t="inlineStr">
        <is>
          <t>Afinum Management</t>
        </is>
      </c>
      <c r="D42" s="7" t="inlineStr">
        <is>
          <t>PE — DACH mid-cap</t>
        </is>
      </c>
      <c r="E42" s="7" t="inlineStr">
        <is>
          <t>Munich</t>
        </is>
      </c>
      <c r="F42" s="7" t="inlineStr">
        <is>
          <t>Sold Threema to Comitis (Jan 2026); proceeds free; mandate intact. Could re-enter.</t>
        </is>
      </c>
      <c r="G42" s="7" t="inlineStr">
        <is>
          <t>Threema 2020–2026 cycle (entry + exit)</t>
        </is>
      </c>
      <c r="H42" s="7" t="inlineStr">
        <is>
          <t>$10–30M</t>
        </is>
      </c>
      <c r="I42" s="12" t="n">
        <v>4</v>
      </c>
      <c r="J42" s="12" t="n">
        <v>3</v>
      </c>
      <c r="K42" s="7" t="inlineStr">
        <is>
          <t>Afinum partners directly.</t>
        </is>
      </c>
    </row>
    <row r="43" ht="60" customHeight="1">
      <c r="A43" s="7" t="n">
        <v>40</v>
      </c>
      <c r="B43" s="17" t="inlineStr">
        <is>
          <t>F</t>
        </is>
      </c>
      <c r="C43" s="7" t="inlineStr">
        <is>
          <t>Hg Capital</t>
        </is>
      </c>
      <c r="D43" s="7" t="inlineStr">
        <is>
          <t>PE — EU enterprise software</t>
        </is>
      </c>
      <c r="E43" s="7" t="inlineStr">
        <is>
          <t>London</t>
        </is>
      </c>
      <c r="F43" s="7" t="inlineStr">
        <is>
          <t>Massive EU software-focused PE; sovereign-comms fits 'critical infrastructure' thesis.</t>
        </is>
      </c>
      <c r="G43" s="7" t="inlineStr">
        <is>
          <t>Visma, IRIS, Sovos — multiple multi-bn deals</t>
        </is>
      </c>
      <c r="H43" s="7" t="inlineStr">
        <is>
          <t>$25–60M</t>
        </is>
      </c>
      <c r="I43" s="12" t="n">
        <v>3</v>
      </c>
      <c r="J43" s="12" t="n">
        <v>3</v>
      </c>
      <c r="K43" s="7" t="inlineStr">
        <is>
          <t>Hg software partners (Nick Jordan, Justin von Simson).</t>
        </is>
      </c>
    </row>
    <row r="44" ht="60" customHeight="1">
      <c r="A44" s="7" t="n">
        <v>41</v>
      </c>
      <c r="B44" s="17" t="inlineStr">
        <is>
          <t>F</t>
        </is>
      </c>
      <c r="C44" s="7" t="inlineStr">
        <is>
          <t>EQT Partners (BPEA, EQT Mid-cap)</t>
        </is>
      </c>
      <c r="D44" s="7" t="inlineStr">
        <is>
          <t>PE — Nordics + EU</t>
        </is>
      </c>
      <c r="E44" s="7" t="inlineStr">
        <is>
          <t>Stockholm</t>
        </is>
      </c>
      <c r="F44" s="7" t="inlineStr">
        <is>
          <t>Tech / cyber portfolio (Acronis $3.5B, Trustly, Suse). Sovereign-comms fits EU narrative.</t>
        </is>
      </c>
      <c r="G44" s="7" t="inlineStr">
        <is>
          <t>Acronis $3.5B (2024); Trustly; Idealista</t>
        </is>
      </c>
      <c r="H44" s="7" t="inlineStr">
        <is>
          <t>$25–60M</t>
        </is>
      </c>
      <c r="I44" s="12" t="n">
        <v>3</v>
      </c>
      <c r="J44" s="12" t="n">
        <v>3</v>
      </c>
      <c r="K44" s="7" t="inlineStr">
        <is>
          <t>EQT mid-market team; via SEB / Carnegie.</t>
        </is>
      </c>
    </row>
    <row r="45" ht="60" customHeight="1">
      <c r="A45" s="7" t="n">
        <v>42</v>
      </c>
      <c r="B45" s="17" t="inlineStr">
        <is>
          <t>F</t>
        </is>
      </c>
      <c r="C45" s="7" t="inlineStr">
        <is>
          <t>Thoma Bravo</t>
        </is>
      </c>
      <c r="D45" s="7" t="inlineStr">
        <is>
          <t>PE — software / cyber</t>
        </is>
      </c>
      <c r="E45" s="7" t="inlineStr">
        <is>
          <t>USA</t>
        </is>
      </c>
      <c r="F45" s="7" t="inlineStr">
        <is>
          <t>Largest cyber-software PE; lots of dry powder; but typically wants revenue. Less likely for no-audience asset.</t>
        </is>
      </c>
      <c r="G45" s="7" t="inlineStr">
        <is>
          <t>ForgeRock, Sailpoint, Ping Identity — all multi-bn</t>
        </is>
      </c>
      <c r="H45" s="7" t="inlineStr">
        <is>
          <t>$30–80M</t>
        </is>
      </c>
      <c r="I45" s="12" t="n">
        <v>2</v>
      </c>
      <c r="J45" s="12" t="n">
        <v>2</v>
      </c>
      <c r="K45" s="7" t="inlineStr">
        <is>
          <t>Thoma Bravo cyber team; via Goldman / MS.</t>
        </is>
      </c>
    </row>
    <row r="46" ht="60" customHeight="1">
      <c r="A46" s="7" t="n">
        <v>43</v>
      </c>
      <c r="B46" s="17" t="inlineStr">
        <is>
          <t>F</t>
        </is>
      </c>
      <c r="C46" s="7" t="inlineStr">
        <is>
          <t>Vista Equity Partners</t>
        </is>
      </c>
      <c r="D46" s="7" t="inlineStr">
        <is>
          <t>PE — enterprise software</t>
        </is>
      </c>
      <c r="E46" s="7" t="inlineStr">
        <is>
          <t>USA</t>
        </is>
      </c>
      <c r="F46" s="7" t="inlineStr">
        <is>
          <t>Software-focused; less natural fit (wants ARR) but possible carve-in to portfolio co.</t>
        </is>
      </c>
      <c r="G46" s="7" t="inlineStr">
        <is>
          <t>Citrix $16.5B; Avalara $8.4B</t>
        </is>
      </c>
      <c r="H46" s="7" t="inlineStr">
        <is>
          <t>$25–60M</t>
        </is>
      </c>
      <c r="I46" s="12" t="n">
        <v>2</v>
      </c>
      <c r="J46" s="12" t="n">
        <v>2</v>
      </c>
      <c r="K46" s="7" t="inlineStr">
        <is>
          <t>Vista flagship fund; needs revenue story.</t>
        </is>
      </c>
    </row>
    <row r="47" ht="60" customHeight="1">
      <c r="A47" s="7" t="n">
        <v>44</v>
      </c>
      <c r="B47" s="17" t="inlineStr">
        <is>
          <t>F</t>
        </is>
      </c>
      <c r="C47" s="7" t="inlineStr">
        <is>
          <t>Insight Partners</t>
        </is>
      </c>
      <c r="D47" s="7" t="inlineStr">
        <is>
          <t>Growth / PE</t>
        </is>
      </c>
      <c r="E47" s="7" t="inlineStr">
        <is>
          <t>USA</t>
        </is>
      </c>
      <c r="F47" s="7" t="inlineStr">
        <is>
          <t>Wide tech portfolio; could be platform play. Cybersecurity-heavy.</t>
        </is>
      </c>
      <c r="G47" s="7" t="inlineStr">
        <is>
          <t>Multiple cyber roll-ups (BlueVoyant, Recorded Future origin)</t>
        </is>
      </c>
      <c r="H47" s="7" t="inlineStr">
        <is>
          <t>$20–50M</t>
        </is>
      </c>
      <c r="I47" s="12" t="n">
        <v>3</v>
      </c>
      <c r="J47" s="12" t="n">
        <v>2</v>
      </c>
      <c r="K47" s="7" t="inlineStr">
        <is>
          <t>Insight EU team (London); via Insight portfolio operators.</t>
        </is>
      </c>
    </row>
    <row r="48" ht="60" customHeight="1">
      <c r="A48" s="7" t="n">
        <v>45</v>
      </c>
      <c r="B48" s="18" t="inlineStr">
        <is>
          <t>G</t>
        </is>
      </c>
      <c r="C48" s="7" t="inlineStr">
        <is>
          <t>Nebius Group (ex-Yandex N.V.)</t>
        </is>
      </c>
      <c r="D48" s="7" t="inlineStr">
        <is>
          <t>Listed EU tech (Russia-exit)</t>
        </is>
      </c>
      <c r="E48" s="7" t="inlineStr">
        <is>
          <t>Amsterdam</t>
        </is>
      </c>
      <c r="F48" s="7" t="inlineStr">
        <is>
          <t>Post-Yandex split; building EU AI/data biz. Net cash ~$2B. Could buy messenger for ecosystem.</t>
        </is>
      </c>
      <c r="G48" s="7" t="inlineStr">
        <is>
          <t>Toloka, TripleTen (post-split)</t>
        </is>
      </c>
      <c r="H48" s="7" t="inlineStr">
        <is>
          <t>$25–60M</t>
        </is>
      </c>
      <c r="I48" s="12" t="n">
        <v>3</v>
      </c>
      <c r="J48" s="12" t="n">
        <v>3</v>
      </c>
      <c r="K48" s="7" t="inlineStr">
        <is>
          <t>Nebius corp dev (Arkady Volozh team); via NL advisors.</t>
        </is>
      </c>
    </row>
    <row r="49" ht="60" customHeight="1">
      <c r="A49" s="7" t="n">
        <v>46</v>
      </c>
      <c r="B49" s="18" t="inlineStr">
        <is>
          <t>G</t>
        </is>
      </c>
      <c r="C49" s="7" t="inlineStr">
        <is>
          <t>DST Global / Yuri Milner FOs</t>
        </is>
      </c>
      <c r="D49" s="7" t="inlineStr">
        <is>
          <t>Family office</t>
        </is>
      </c>
      <c r="E49" s="7" t="inlineStr">
        <is>
          <t>Israel / US</t>
        </is>
      </c>
      <c r="F49" s="7" t="inlineStr">
        <is>
          <t>Historical bets on messaging (WhatsApp, Telegram, Facebook). Could see strategic angle for an independent messenger.</t>
        </is>
      </c>
      <c r="G49" s="7" t="inlineStr">
        <is>
          <t>Historical: WhatsApp pre-IPO; Facebook; Twitter; Snap</t>
        </is>
      </c>
      <c r="H49" s="7" t="inlineStr">
        <is>
          <t>$25–60M</t>
        </is>
      </c>
      <c r="I49" s="12" t="n">
        <v>3</v>
      </c>
      <c r="J49" s="12" t="n">
        <v>2</v>
      </c>
      <c r="K49" s="7" t="inlineStr">
        <is>
          <t>DST partners directly; via portfolio-co intros.</t>
        </is>
      </c>
    </row>
    <row r="50" ht="60" customHeight="1">
      <c r="A50" s="7" t="n">
        <v>47</v>
      </c>
      <c r="B50" s="18" t="inlineStr">
        <is>
          <t>G</t>
        </is>
      </c>
      <c r="C50" s="7" t="inlineStr">
        <is>
          <t>Pavel Durov-aligned funds</t>
        </is>
      </c>
      <c r="D50" s="7" t="inlineStr">
        <is>
          <t>Family office</t>
        </is>
      </c>
      <c r="E50" s="7" t="inlineStr">
        <is>
          <t>UAE</t>
        </is>
      </c>
      <c r="F50" s="7" t="inlineStr">
        <is>
          <t>Owns Telegram; conflict of interest = unlikely BUT could buy to neutralise threat or geo-fork.</t>
        </is>
      </c>
      <c r="G50" s="7" t="inlineStr">
        <is>
          <t>Telegram self-funded; TON token raises</t>
        </is>
      </c>
      <c r="H50" s="7" t="inlineStr">
        <is>
          <t>$0 (conflict) or strategic</t>
        </is>
      </c>
      <c r="I50" s="12" t="n">
        <v>1</v>
      </c>
      <c r="J50" s="12" t="n">
        <v>1</v>
      </c>
      <c r="K50" s="7" t="inlineStr">
        <is>
          <t>Realistically not buyer — listed for completeness.</t>
        </is>
      </c>
    </row>
    <row r="51" ht="60" customHeight="1">
      <c r="A51" s="7" t="n">
        <v>48</v>
      </c>
      <c r="B51" s="18" t="inlineStr">
        <is>
          <t>G</t>
        </is>
      </c>
      <c r="C51" s="7" t="inlineStr">
        <is>
          <t>Yusuf Hamied / Indian-DE family offices</t>
        </is>
      </c>
      <c r="D51" s="7" t="inlineStr">
        <is>
          <t>FO</t>
        </is>
      </c>
      <c r="E51" s="7" t="inlineStr">
        <is>
          <t>London / Mumbai</t>
        </is>
      </c>
      <c r="F51" s="7" t="inlineStr">
        <is>
          <t>Growing portfolio of EU tech bets; emerging-markets play.</t>
        </is>
      </c>
      <c r="G51" s="7" t="inlineStr">
        <is>
          <t>Various tech investments</t>
        </is>
      </c>
      <c r="H51" s="7" t="inlineStr">
        <is>
          <t>$15–40M</t>
        </is>
      </c>
      <c r="I51" s="12" t="n">
        <v>2</v>
      </c>
      <c r="J51" s="12" t="n">
        <v>2</v>
      </c>
      <c r="K51" s="7" t="inlineStr">
        <is>
          <t>Via Drewry / family office network.</t>
        </is>
      </c>
    </row>
    <row r="52" ht="60" customHeight="1">
      <c r="A52" s="7" t="n">
        <v>49</v>
      </c>
      <c r="B52" s="17" t="inlineStr">
        <is>
          <t>F</t>
        </is>
      </c>
      <c r="C52" s="7" t="inlineStr">
        <is>
          <t>Bridgepoint Group</t>
        </is>
      </c>
      <c r="D52" s="7" t="inlineStr">
        <is>
          <t>PE — EU mid-market</t>
        </is>
      </c>
      <c r="E52" s="7" t="inlineStr">
        <is>
          <t>London</t>
        </is>
      </c>
      <c r="F52" s="7" t="inlineStr">
        <is>
          <t>EU mid-cap PE; tech / business-services. Could platform-roll secure comms.</t>
        </is>
      </c>
      <c r="G52" s="7" t="inlineStr">
        <is>
          <t>Calypso Tech; Element Materials Technology</t>
        </is>
      </c>
      <c r="H52" s="7" t="inlineStr">
        <is>
          <t>$20–50M</t>
        </is>
      </c>
      <c r="I52" s="12" t="n">
        <v>2</v>
      </c>
      <c r="J52" s="12" t="n">
        <v>2</v>
      </c>
      <c r="K52" s="7" t="inlineStr">
        <is>
          <t>Bridgepoint partners directly.</t>
        </is>
      </c>
    </row>
    <row r="53" ht="60" customHeight="1">
      <c r="A53" s="7" t="n">
        <v>50</v>
      </c>
      <c r="B53" s="13" t="inlineStr">
        <is>
          <t>B</t>
        </is>
      </c>
      <c r="C53" s="7" t="inlineStr">
        <is>
          <t>Bharti Airtel / Airtel Africa</t>
        </is>
      </c>
      <c r="D53" s="7" t="inlineStr">
        <is>
          <t>Telco</t>
        </is>
      </c>
      <c r="E53" s="7" t="inlineStr">
        <is>
          <t>India / Africa</t>
        </is>
      </c>
      <c r="F53" s="7" t="inlineStr">
        <is>
          <t>Building digital services; messenger sovereignty for Africa+India markets.</t>
        </is>
      </c>
      <c r="G53" s="7" t="inlineStr">
        <is>
          <t>Multiple acquisitions in Africa fintech</t>
        </is>
      </c>
      <c r="H53" s="7" t="inlineStr">
        <is>
          <t>$15–40M</t>
        </is>
      </c>
      <c r="I53" s="12" t="n">
        <v>2</v>
      </c>
      <c r="J53" s="12" t="n">
        <v>2</v>
      </c>
      <c r="K53" s="7" t="inlineStr">
        <is>
          <t>Bharti Airtel digital BD; via SBI Capital.</t>
        </is>
      </c>
    </row>
    <row r="54" ht="60" customHeight="1">
      <c r="A54" s="7" t="n">
        <v>51</v>
      </c>
      <c r="B54" s="13" t="inlineStr">
        <is>
          <t>B</t>
        </is>
      </c>
      <c r="C54" s="7" t="inlineStr">
        <is>
          <t>MTN Group (Ayoba)</t>
        </is>
      </c>
      <c r="D54" s="7" t="inlineStr">
        <is>
          <t>Telco super-app — Africa</t>
        </is>
      </c>
      <c r="E54" s="7" t="inlineStr">
        <is>
          <t>Johannesburg</t>
        </is>
      </c>
      <c r="F54" s="7" t="inlineStr">
        <is>
          <t>Ayoba is messaging-led super-app, 30M MAU. Could licence or acquire EU-grade stack to upgrade.</t>
        </is>
      </c>
      <c r="G54" s="7" t="inlineStr">
        <is>
          <t>Ayoba in-house build; partnership-led growth</t>
        </is>
      </c>
      <c r="H54" s="7" t="inlineStr">
        <is>
          <t>$10–25M</t>
        </is>
      </c>
      <c r="I54" s="12" t="n">
        <v>2</v>
      </c>
      <c r="J54" s="12" t="n">
        <v>2</v>
      </c>
      <c r="K54" s="7" t="inlineStr">
        <is>
          <t>MTN Group digital ecosystems team.</t>
        </is>
      </c>
    </row>
    <row r="57">
      <c r="A57" s="3" t="inlineStr">
        <is>
          <t>TIER LEGEND</t>
        </is>
      </c>
    </row>
    <row r="58">
      <c r="A58" s="19" t="inlineStr">
        <is>
          <t>Tier A</t>
        </is>
      </c>
      <c r="B58" s="5" t="inlineStr">
        <is>
          <t>Strategic acquirer with recent messenger M&amp;A — fastest to close, cleanest narrative</t>
        </is>
      </c>
    </row>
    <row r="59">
      <c r="A59" s="20" t="inlineStr">
        <is>
          <t>Tier B</t>
        </is>
      </c>
      <c r="B59" s="5" t="inlineStr">
        <is>
          <t>Sovereign / govt / defence-tech — biggest cheques but slowest cycles (6–18 mo)</t>
        </is>
      </c>
    </row>
    <row r="60">
      <c r="A60" s="21" t="inlineStr">
        <is>
          <t>Tier C</t>
        </is>
      </c>
      <c r="B60" s="5" t="inlineStr">
        <is>
          <t>Enterprise / B2B secure-comms — clear strategic fit, mid-tier cheques</t>
        </is>
      </c>
    </row>
    <row r="61">
      <c r="A61" s="22" t="inlineStr">
        <is>
          <t>Tier D</t>
        </is>
      </c>
      <c r="B61" s="5" t="inlineStr">
        <is>
          <t>Privacy / consumer security brands — culture fit, mid-tier cheques</t>
        </is>
      </c>
    </row>
    <row r="62">
      <c r="A62" s="23" t="inlineStr">
        <is>
          <t>Tier E</t>
        </is>
      </c>
      <c r="B62" s="5" t="inlineStr">
        <is>
          <t>Crypto / Web3 ecosystem — wildcard, only if you accept token-component consideration</t>
        </is>
      </c>
    </row>
    <row r="63">
      <c r="A63" s="24" t="inlineStr">
        <is>
          <t>Tier F</t>
        </is>
      </c>
      <c r="B63" s="5" t="inlineStr">
        <is>
          <t>Private equity roll-ups — cash, fast, but want revenue → asset-sale price</t>
        </is>
      </c>
    </row>
    <row r="64">
      <c r="A64" s="25" t="inlineStr">
        <is>
          <t>Tier G</t>
        </is>
      </c>
      <c r="B64" s="5" t="inlineStr">
        <is>
          <t>Diaspora / family offices — fast decisions, opportunistic</t>
        </is>
      </c>
    </row>
  </sheetData>
  <mergeCells count="8">
    <mergeCell ref="B63:K63"/>
    <mergeCell ref="B61:K61"/>
    <mergeCell ref="B58:K58"/>
    <mergeCell ref="B62:K62"/>
    <mergeCell ref="B64:K64"/>
    <mergeCell ref="A1:K1"/>
    <mergeCell ref="B59:K59"/>
    <mergeCell ref="B60:K6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22" customWidth="1" min="3" max="3"/>
    <col width="28" customWidth="1" min="4" max="4"/>
    <col width="22" customWidth="1" min="5" max="5"/>
    <col width="18" customWidth="1" min="6" max="6"/>
    <col width="18" customWidth="1" min="7" max="7"/>
    <col width="30" customWidth="1" min="8" max="8"/>
    <col width="50" customWidth="1" min="9" max="9"/>
  </cols>
  <sheetData>
    <row r="1">
      <c r="A1" s="1" t="inlineStr">
        <is>
          <t>Comparable transactions — secure messenger / secure-comms M&amp;A (2014–2026)</t>
        </is>
      </c>
    </row>
    <row r="3">
      <c r="A3" s="6" t="inlineStr">
        <is>
          <t>#</t>
        </is>
      </c>
      <c r="B3" s="6" t="inlineStr">
        <is>
          <t>Year</t>
        </is>
      </c>
      <c r="C3" s="6" t="inlineStr">
        <is>
          <t>Target</t>
        </is>
      </c>
      <c r="D3" s="6" t="inlineStr">
        <is>
          <t>Acquirer</t>
        </is>
      </c>
      <c r="E3" s="6" t="inlineStr">
        <is>
          <t>Deal value (USD)</t>
        </is>
      </c>
      <c r="F3" s="6" t="inlineStr">
        <is>
          <t>Users at exit</t>
        </is>
      </c>
      <c r="G3" s="6" t="inlineStr">
        <is>
          <t>Revenue at exit</t>
        </is>
      </c>
      <c r="H3" s="6" t="inlineStr">
        <is>
          <t>Implied tag</t>
        </is>
      </c>
      <c r="I3" s="6" t="inlineStr">
        <is>
          <t>Source / note</t>
        </is>
      </c>
    </row>
    <row r="4" ht="50" customHeight="1">
      <c r="A4" s="7" t="n">
        <v>1</v>
      </c>
      <c r="B4" s="7" t="n">
        <v>2014</v>
      </c>
      <c r="C4" s="7" t="inlineStr">
        <is>
          <t>WhatsApp</t>
        </is>
      </c>
      <c r="D4" s="7" t="inlineStr">
        <is>
          <t>Facebook (Meta)</t>
        </is>
      </c>
      <c r="E4" s="7" t="inlineStr">
        <is>
          <t>$19,000M</t>
        </is>
      </c>
      <c r="F4" s="7" t="inlineStr">
        <is>
          <t>~450M</t>
        </is>
      </c>
      <c r="G4" s="7" t="inlineStr">
        <is>
          <t>Negligible</t>
        </is>
      </c>
      <c r="H4" s="7" t="inlineStr">
        <is>
          <t>Per-user $42 (peak consumer messaging premium)</t>
        </is>
      </c>
      <c r="I4" s="7" t="inlineStr">
        <is>
          <t>Disclosed; NOT comparable — sets ceiling for consumer-scale only.</t>
        </is>
      </c>
    </row>
    <row r="5" ht="50" customHeight="1">
      <c r="A5" s="7" t="n">
        <v>2</v>
      </c>
      <c r="B5" s="7" t="n">
        <v>2014</v>
      </c>
      <c r="C5" s="7" t="inlineStr">
        <is>
          <t>Viber Media</t>
        </is>
      </c>
      <c r="D5" s="7" t="inlineStr">
        <is>
          <t>Rakuten</t>
        </is>
      </c>
      <c r="E5" s="7" t="inlineStr">
        <is>
          <t>$905M</t>
        </is>
      </c>
      <c r="F5" s="7" t="inlineStr">
        <is>
          <t>~300M</t>
        </is>
      </c>
      <c r="G5" s="7" t="inlineStr">
        <is>
          <t>Modest</t>
        </is>
      </c>
      <c r="H5" s="7" t="inlineStr">
        <is>
          <t>Per-user ~$3; full strategic premium</t>
        </is>
      </c>
      <c r="I5" s="7" t="inlineStr">
        <is>
          <t>Rakuten press release / 8-K; NOT comparable — had massive audience.</t>
        </is>
      </c>
    </row>
    <row r="6" ht="50" customHeight="1">
      <c r="A6" s="7" t="n">
        <v>3</v>
      </c>
      <c r="B6" s="7" t="n">
        <v>2014</v>
      </c>
      <c r="C6" s="7" t="inlineStr">
        <is>
          <t>Secusmart GmbH</t>
        </is>
      </c>
      <c r="D6" s="7" t="inlineStr">
        <is>
          <t>BlackBerry</t>
        </is>
      </c>
      <c r="E6" s="7" t="inlineStr">
        <is>
          <t>Undisclosed (~€80–100M est.)</t>
        </is>
      </c>
      <c r="F6" s="7" t="inlineStr">
        <is>
          <t>Gov customers</t>
        </is>
      </c>
      <c r="G6" s="7" t="inlineStr">
        <is>
          <t>Modest gov contracts</t>
        </is>
      </c>
      <c r="H6" s="7" t="inlineStr">
        <is>
          <t>Gov-secure-comms IP+team</t>
        </is>
      </c>
      <c r="I6" s="7" t="inlineStr">
        <is>
          <t>Press: 'reinforces secure-mobile leadership.' German gov + Merkel phone.</t>
        </is>
      </c>
    </row>
    <row r="7" ht="50" customHeight="1">
      <c r="A7" s="7" t="n">
        <v>4</v>
      </c>
      <c r="B7" s="7" t="n">
        <v>2021</v>
      </c>
      <c r="C7" s="7" t="inlineStr">
        <is>
          <t>Wickr Inc.</t>
        </is>
      </c>
      <c r="D7" s="7" t="inlineStr">
        <is>
          <t>Amazon Web Services</t>
        </is>
      </c>
      <c r="E7" s="7" t="inlineStr">
        <is>
          <t>Undisclosed (est. $50–100M)</t>
        </is>
      </c>
      <c r="F7" s="7" t="inlineStr">
        <is>
          <t>Enterprise + gov</t>
        </is>
      </c>
      <c r="G7" s="7" t="inlineStr">
        <is>
          <t>~$20–30M est.</t>
        </is>
      </c>
      <c r="H7" s="7" t="inlineStr">
        <is>
          <t>IP+team+gov contracts (NSA-grade)</t>
        </is>
      </c>
      <c r="I7" s="7" t="inlineStr">
        <is>
          <t>TechCrunch: 'raised ~$60M total funding'; undisclosed deal.</t>
        </is>
      </c>
    </row>
    <row r="8" ht="50" customHeight="1">
      <c r="A8" s="7" t="n">
        <v>5</v>
      </c>
      <c r="B8" s="7" t="n">
        <v>2020</v>
      </c>
      <c r="C8" s="7" t="inlineStr">
        <is>
          <t>Threema GmbH</t>
        </is>
      </c>
      <c r="D8" s="7" t="inlineStr">
        <is>
          <t>Afinum Management (PE)</t>
        </is>
      </c>
      <c r="E8" s="7" t="inlineStr">
        <is>
          <t>Undisclosed (~€30–50M est.)</t>
        </is>
      </c>
      <c r="F8" s="7" t="inlineStr">
        <is>
          <t>~12M</t>
        </is>
      </c>
      <c r="G8" s="7" t="inlineStr">
        <is>
          <t>Single-digit €M</t>
        </is>
      </c>
      <c r="H8" s="7" t="inlineStr">
        <is>
          <t>Strong audience but small in absolute terms</t>
        </is>
      </c>
      <c r="I8" s="7" t="inlineStr">
        <is>
          <t>Vischer.com deal note; PE buy-out, founders rolled.</t>
        </is>
      </c>
    </row>
    <row r="9" ht="50" customHeight="1">
      <c r="A9" s="7" t="n">
        <v>6</v>
      </c>
      <c r="B9" s="7" t="n">
        <v>2024</v>
      </c>
      <c r="C9" s="7" t="inlineStr">
        <is>
          <t>Skiff</t>
        </is>
      </c>
      <c r="D9" s="7" t="inlineStr">
        <is>
          <t>Notion Labs</t>
        </is>
      </c>
      <c r="E9" s="7" t="inlineStr">
        <is>
          <t>Undisclosed (~$15–30M est.)</t>
        </is>
      </c>
      <c r="F9" s="7" t="inlineStr">
        <is>
          <t>~2M</t>
        </is>
      </c>
      <c r="G9" s="7" t="inlineStr">
        <is>
          <t>Free, no rev</t>
        </is>
      </c>
      <c r="H9" s="7" t="inlineStr">
        <is>
          <t>IP+team acqui-hire; product sunset</t>
        </is>
      </c>
      <c r="I9" s="7" t="inlineStr">
        <is>
          <t>TechCrunch Feb 2024; product killed within 12 months.</t>
        </is>
      </c>
    </row>
    <row r="10" ht="50" customHeight="1">
      <c r="A10" s="7" t="n">
        <v>7</v>
      </c>
      <c r="B10" s="7" t="n">
        <v>2024</v>
      </c>
      <c r="C10" s="7" t="inlineStr">
        <is>
          <t>Beeper Inc.</t>
        </is>
      </c>
      <c r="D10" s="7" t="inlineStr">
        <is>
          <t>Automattic</t>
        </is>
      </c>
      <c r="E10" s="7" t="inlineStr">
        <is>
          <t>$125M</t>
        </is>
      </c>
      <c r="F10" s="7" t="inlineStr">
        <is>
          <t>~115K beta</t>
        </is>
      </c>
      <c r="G10" s="7" t="inlineStr">
        <is>
          <t>Free, no rev</t>
        </is>
      </c>
      <c r="H10" s="7" t="inlineStr">
        <is>
          <t>Aggregator IP + Eric Migicovsky + team</t>
        </is>
      </c>
      <c r="I10" s="7" t="inlineStr">
        <is>
          <t>Automattic announcement / TechCrunch Apr 2024. Closest 'no-audience' premium comp.</t>
        </is>
      </c>
    </row>
    <row r="11" ht="50" customHeight="1">
      <c r="A11" s="7" t="n">
        <v>8</v>
      </c>
      <c r="B11" s="7" t="n">
        <v>2023</v>
      </c>
      <c r="C11" s="7" t="inlineStr">
        <is>
          <t>Texts.com</t>
        </is>
      </c>
      <c r="D11" s="7" t="inlineStr">
        <is>
          <t>Automattic</t>
        </is>
      </c>
      <c r="E11" s="7" t="inlineStr">
        <is>
          <t>Undisclosed (~$50M est.)</t>
        </is>
      </c>
      <c r="F11" s="7" t="inlineStr">
        <is>
          <t>Small</t>
        </is>
      </c>
      <c r="G11" s="7" t="inlineStr">
        <is>
          <t>Subs (small)</t>
        </is>
      </c>
      <c r="H11" s="7" t="inlineStr">
        <is>
          <t>Multi-platform messaging client</t>
        </is>
      </c>
      <c r="I11" s="7" t="inlineStr">
        <is>
          <t>Press 2023; rolled into Beeper post-acquisition.</t>
        </is>
      </c>
    </row>
    <row r="12" ht="50" customHeight="1">
      <c r="A12" s="7" t="n">
        <v>9</v>
      </c>
      <c r="B12" s="7" t="n">
        <v>2014</v>
      </c>
      <c r="C12" s="7" t="inlineStr">
        <is>
          <t>Perzo Inc. (→ Symphony)</t>
        </is>
      </c>
      <c r="D12" s="7" t="inlineStr">
        <is>
          <t>Goldman + 14 banks</t>
        </is>
      </c>
      <c r="E12" s="7" t="inlineStr">
        <is>
          <t>$66M (founding round)</t>
        </is>
      </c>
      <c r="F12" s="7" t="inlineStr">
        <is>
          <t>0</t>
        </is>
      </c>
      <c r="G12" s="7" t="inlineStr">
        <is>
          <t>0</t>
        </is>
      </c>
      <c r="H12" s="7" t="inlineStr">
        <is>
          <t>IP base for Symphony, bank-funded</t>
        </is>
      </c>
      <c r="I12" s="7" t="inlineStr">
        <is>
          <t>Symphony Wikipedia / TechCrunch. Founding deal — pure IP carve-in.</t>
        </is>
      </c>
    </row>
    <row r="13" ht="50" customHeight="1">
      <c r="A13" s="7" t="n">
        <v>10</v>
      </c>
      <c r="B13" s="7" t="n">
        <v>2026</v>
      </c>
      <c r="C13" s="7" t="inlineStr">
        <is>
          <t>Threema GmbH</t>
        </is>
      </c>
      <c r="D13" s="7" t="inlineStr">
        <is>
          <t>Comitis Capital (PE)</t>
        </is>
      </c>
      <c r="E13" s="7" t="inlineStr">
        <is>
          <t>Undisclosed (~€40–60M est.)</t>
        </is>
      </c>
      <c r="F13" s="7" t="inlineStr">
        <is>
          <t>~15M</t>
        </is>
      </c>
      <c r="G13" s="7" t="inlineStr">
        <is>
          <t>€10–15M est.</t>
        </is>
      </c>
      <c r="H13" s="7" t="inlineStr">
        <is>
          <t>Secondary PE buyout 6 years after Afinum entry</t>
        </is>
      </c>
      <c r="I13" s="7" t="inlineStr">
        <is>
          <t>Privacyguides.org / World Today Journal Jan 2026.</t>
        </is>
      </c>
    </row>
    <row r="14" ht="50" customHeight="1">
      <c r="A14" s="7" t="n">
        <v>11</v>
      </c>
      <c r="B14" s="7" t="n">
        <v>2024</v>
      </c>
      <c r="C14" s="7" t="inlineStr">
        <is>
          <t>Standard Notes</t>
        </is>
      </c>
      <c r="D14" s="7" t="inlineStr">
        <is>
          <t>Proton AG</t>
        </is>
      </c>
      <c r="E14" s="7" t="inlineStr">
        <is>
          <t>Undisclosed (~$5–15M est.)</t>
        </is>
      </c>
      <c r="F14" s="7" t="inlineStr">
        <is>
          <t>Mid-six-figure</t>
        </is>
      </c>
      <c r="G14" s="7" t="inlineStr">
        <is>
          <t>Subs</t>
        </is>
      </c>
      <c r="H14" s="7" t="inlineStr">
        <is>
          <t>Privacy productivity IP</t>
        </is>
      </c>
      <c r="I14" s="7" t="inlineStr">
        <is>
          <t>Proton announcement Apr 2024.</t>
        </is>
      </c>
    </row>
    <row r="15" ht="50" customHeight="1">
      <c r="A15" s="7" t="n">
        <v>12</v>
      </c>
      <c r="B15" s="7" t="n">
        <v>2022</v>
      </c>
      <c r="C15" s="7" t="inlineStr">
        <is>
          <t>SimpleLogin</t>
        </is>
      </c>
      <c r="D15" s="7" t="inlineStr">
        <is>
          <t>Proton AG</t>
        </is>
      </c>
      <c r="E15" s="7" t="inlineStr">
        <is>
          <t>Undisclosed (~$3–10M est.)</t>
        </is>
      </c>
      <c r="F15" s="7" t="inlineStr">
        <is>
          <t>Mid-six-figure</t>
        </is>
      </c>
      <c r="G15" s="7" t="inlineStr">
        <is>
          <t>Subs</t>
        </is>
      </c>
      <c r="H15" s="7" t="inlineStr">
        <is>
          <t>Email-aliasing IP</t>
        </is>
      </c>
      <c r="I15" s="7" t="inlineStr">
        <is>
          <t>Proton announcement Apr 2022.</t>
        </is>
      </c>
    </row>
    <row r="16" ht="50" customHeight="1">
      <c r="A16" s="7" t="n">
        <v>13</v>
      </c>
      <c r="B16" s="7" t="n">
        <v>2019</v>
      </c>
      <c r="C16" s="7" t="inlineStr">
        <is>
          <t>Gemalto</t>
        </is>
      </c>
      <c r="D16" s="7" t="inlineStr">
        <is>
          <t>Thales Group</t>
        </is>
      </c>
      <c r="E16" s="7" t="inlineStr">
        <is>
          <t>€4,800M</t>
        </is>
      </c>
      <c r="F16" s="7" t="inlineStr">
        <is>
          <t>Enterprise/gov</t>
        </is>
      </c>
      <c r="G16" s="7" t="inlineStr">
        <is>
          <t>~€3B revenue</t>
        </is>
      </c>
      <c r="H16" s="7" t="inlineStr">
        <is>
          <t>Secure-ID + comms — sovereignty premium</t>
        </is>
      </c>
      <c r="I16" s="7" t="inlineStr">
        <is>
          <t>Public disclosure 2019.</t>
        </is>
      </c>
    </row>
    <row r="18">
      <c r="A18" s="3" t="inlineStr">
        <is>
          <t>KEY TAKEAWAYS FOR VALUATION</t>
        </is>
      </c>
    </row>
    <row r="19">
      <c r="A19" s="4" t="inlineStr">
        <is>
          <t>•</t>
        </is>
      </c>
      <c r="B19" s="26" t="inlineStr">
        <is>
          <t>Most directly comparable: Wickr → AWS (no consumer audience, secure-comms IP+team, gov-grade): $50–100M range.</t>
        </is>
      </c>
    </row>
    <row r="20">
      <c r="A20" s="4" t="inlineStr">
        <is>
          <t>•</t>
        </is>
      </c>
      <c r="B20" s="26" t="inlineStr">
        <is>
          <t>Floor anchor: Skiff → Notion ($15–30M est.) — pure acqui-hire/IP for messenger-adjacent product, sunset by buyer.</t>
        </is>
      </c>
    </row>
    <row r="21">
      <c r="A21" s="4" t="inlineStr">
        <is>
          <t>•</t>
        </is>
      </c>
      <c r="B21" s="26" t="inlineStr">
        <is>
          <t>Ceiling anchor without audience: Beeper → Automattic ($125M) — small audience but strategic-fit premium.</t>
        </is>
      </c>
    </row>
    <row r="22">
      <c r="A22" s="4" t="inlineStr">
        <is>
          <t>•</t>
        </is>
      </c>
      <c r="B22" s="26" t="inlineStr">
        <is>
          <t>PE roll-up comps (Threema cycle): €30–60M range — proves EU secure-comms has 'reasonable price' liquidity.</t>
        </is>
      </c>
    </row>
    <row r="23">
      <c r="A23" s="4" t="inlineStr">
        <is>
          <t>•</t>
        </is>
      </c>
      <c r="B23" s="26" t="inlineStr">
        <is>
          <t>Avoid leading with Viber / WhatsApp comps — they're per-MAU, you have no MAU. Lead with Wickr / Beeper / Threema.</t>
        </is>
      </c>
    </row>
  </sheetData>
  <mergeCells count="6">
    <mergeCell ref="B21:I21"/>
    <mergeCell ref="B20:I20"/>
    <mergeCell ref="A1:I1"/>
    <mergeCell ref="B22:I22"/>
    <mergeCell ref="B19:I19"/>
    <mergeCell ref="B23:I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50" customWidth="1" min="4" max="4"/>
  </cols>
  <sheetData>
    <row r="1">
      <c r="A1" s="1" t="inlineStr">
        <is>
          <t>Valuation build — 3 methods + football field</t>
        </is>
      </c>
    </row>
    <row r="3">
      <c r="A3" s="3" t="inlineStr">
        <is>
          <t>METHOD 1 — Replacement cost (build-from-scratch)</t>
        </is>
      </c>
    </row>
    <row r="4">
      <c r="A4" s="6" t="inlineStr">
        <is>
          <t>Driver</t>
        </is>
      </c>
      <c r="B4" s="6" t="inlineStr">
        <is>
          <t>Value</t>
        </is>
      </c>
      <c r="C4" s="6" t="inlineStr">
        <is>
          <t>Unit</t>
        </is>
      </c>
      <c r="D4" s="6" t="inlineStr">
        <is>
          <t>Rationale</t>
        </is>
      </c>
    </row>
    <row r="5">
      <c r="A5" s="7" t="inlineStr">
        <is>
          <t>Engineers required for parity build</t>
        </is>
      </c>
      <c r="B5" s="27" t="n">
        <v>80</v>
      </c>
      <c r="C5" s="7" t="inlineStr">
        <is>
          <t>people</t>
        </is>
      </c>
      <c r="D5" s="7" t="inlineStr">
        <is>
          <t>Industry benchmark for Telegram-class build</t>
        </is>
      </c>
    </row>
    <row r="6">
      <c r="A6" s="7" t="inlineStr">
        <is>
          <t>Build duration</t>
        </is>
      </c>
      <c r="B6" s="27" t="n">
        <v>2.5</v>
      </c>
      <c r="C6" s="7" t="inlineStr">
        <is>
          <t>years</t>
        </is>
      </c>
      <c r="D6" s="7" t="inlineStr">
        <is>
          <t>From greenfield to tested production</t>
        </is>
      </c>
    </row>
    <row r="7">
      <c r="A7" s="7" t="inlineStr">
        <is>
          <t>Fully-loaded cost / engineer / year (EU/UK)</t>
        </is>
      </c>
      <c r="B7" s="28" t="n">
        <v>200000</v>
      </c>
      <c r="C7" s="7" t="inlineStr">
        <is>
          <t>USD</t>
        </is>
      </c>
      <c r="D7" s="7" t="inlineStr">
        <is>
          <t>Senior-weighted blended; CH +20%</t>
        </is>
      </c>
    </row>
    <row r="8">
      <c r="A8" s="7" t="inlineStr">
        <is>
          <t>Base build cost</t>
        </is>
      </c>
      <c r="B8" s="29">
        <f>B5*B6*B7</f>
        <v/>
      </c>
      <c r="C8" s="7" t="inlineStr">
        <is>
          <t>USD</t>
        </is>
      </c>
      <c r="D8" s="7" t="inlineStr">
        <is>
          <t>Engineers × years × loaded cost</t>
        </is>
      </c>
    </row>
    <row r="9">
      <c r="A9" s="7" t="inlineStr">
        <is>
          <t>Protocol / crypto R&amp;D premium</t>
        </is>
      </c>
      <c r="B9" s="28" t="n">
        <v>8000000</v>
      </c>
      <c r="C9" s="7" t="inlineStr">
        <is>
          <t>USD</t>
        </is>
      </c>
      <c r="D9" s="7" t="inlineStr">
        <is>
          <t>Own E2E crypto adds 10–15% on top</t>
        </is>
      </c>
    </row>
    <row r="10">
      <c r="A10" s="7" t="inlineStr">
        <is>
          <t>Subtotal replacement cost</t>
        </is>
      </c>
      <c r="B10" s="29">
        <f>B8+B9</f>
        <v/>
      </c>
      <c r="C10" s="7" t="inlineStr">
        <is>
          <t>USD</t>
        </is>
      </c>
      <c r="D10" s="7" t="inlineStr"/>
    </row>
    <row r="11">
      <c r="A11" s="7" t="inlineStr">
        <is>
          <t>Time-to-market / execution risk premium for buyer</t>
        </is>
      </c>
      <c r="B11" s="30" t="n">
        <v>0.35</v>
      </c>
      <c r="C11" s="7" t="inlineStr">
        <is>
          <t>%</t>
        </is>
      </c>
      <c r="D11" s="7" t="inlineStr">
        <is>
          <t>Buyer saves 2–3 yrs + tech risk</t>
        </is>
      </c>
    </row>
    <row r="12">
      <c r="A12" s="7" t="inlineStr">
        <is>
          <t>Adjusted replacement cost</t>
        </is>
      </c>
      <c r="B12" s="29">
        <f>B10*(1+B11)</f>
        <v/>
      </c>
      <c r="C12" s="7" t="inlineStr">
        <is>
          <t>USD</t>
        </is>
      </c>
      <c r="D12" s="7">
        <f> Method 1 indicative value</f>
        <v/>
      </c>
    </row>
    <row r="14">
      <c r="A14" s="4" t="inlineStr">
        <is>
          <t>→ Method 1 result range:</t>
        </is>
      </c>
      <c r="B14" s="31">
        <f>B12*0.75</f>
        <v/>
      </c>
      <c r="C14" s="5" t="inlineStr">
        <is>
          <t>to</t>
        </is>
      </c>
      <c r="D14" s="31">
        <f>B12*1.25</f>
        <v/>
      </c>
    </row>
    <row r="16">
      <c r="A16" s="3" t="inlineStr">
        <is>
          <t>METHOD 2 — Comparable transactions (no-audience IP+team)</t>
        </is>
      </c>
    </row>
    <row r="17">
      <c r="A17" s="6" t="inlineStr">
        <is>
          <t>Comp</t>
        </is>
      </c>
      <c r="B17" s="6" t="inlineStr">
        <is>
          <t>Year</t>
        </is>
      </c>
      <c r="C17" s="6" t="inlineStr">
        <is>
          <t>Deal value</t>
        </is>
      </c>
      <c r="D17" s="6" t="inlineStr">
        <is>
          <t>Note</t>
        </is>
      </c>
    </row>
    <row r="18">
      <c r="A18" s="7" t="inlineStr">
        <is>
          <t>Wickr → AWS</t>
        </is>
      </c>
      <c r="B18" s="7" t="n">
        <v>2021</v>
      </c>
      <c r="C18" s="32" t="n">
        <v>75</v>
      </c>
      <c r="D18" s="7" t="inlineStr">
        <is>
          <t>Midpoint of $50–100M est. (most direct comp)</t>
        </is>
      </c>
    </row>
    <row r="19">
      <c r="A19" s="7" t="inlineStr">
        <is>
          <t>Beeper → Automattic</t>
        </is>
      </c>
      <c r="B19" s="7" t="n">
        <v>2024</v>
      </c>
      <c r="C19" s="32" t="n">
        <v>125</v>
      </c>
      <c r="D19" s="7" t="inlineStr">
        <is>
          <t>Ceiling — had small audience but strategic premium</t>
        </is>
      </c>
    </row>
    <row r="20">
      <c r="A20" s="7" t="inlineStr">
        <is>
          <t>Skiff → Notion</t>
        </is>
      </c>
      <c r="B20" s="7" t="n">
        <v>2024</v>
      </c>
      <c r="C20" s="32" t="n">
        <v>22</v>
      </c>
      <c r="D20" s="7" t="inlineStr">
        <is>
          <t>Floor — pure IP/acqui-hire, product sunset</t>
        </is>
      </c>
    </row>
    <row r="21">
      <c r="A21" s="7" t="inlineStr">
        <is>
          <t>Threema (2020 entry)</t>
        </is>
      </c>
      <c r="B21" s="7" t="n">
        <v>2020</v>
      </c>
      <c r="C21" s="32" t="n">
        <v>45</v>
      </c>
      <c r="D21" s="7" t="inlineStr">
        <is>
          <t>PE entry; had ~10M users</t>
        </is>
      </c>
    </row>
    <row r="22">
      <c r="A22" s="7" t="inlineStr">
        <is>
          <t>Threema (2026 exit)</t>
        </is>
      </c>
      <c r="B22" s="7" t="n">
        <v>2026</v>
      </c>
      <c r="C22" s="32" t="n">
        <v>55</v>
      </c>
      <c r="D22" s="7" t="inlineStr">
        <is>
          <t>PE exit 6 yrs later</t>
        </is>
      </c>
    </row>
    <row r="23">
      <c r="A23" s="7" t="inlineStr">
        <is>
          <t>Secusmart → BlackBerry</t>
        </is>
      </c>
      <c r="B23" s="7" t="n">
        <v>2014</v>
      </c>
      <c r="C23" s="32" t="n">
        <v>90</v>
      </c>
      <c r="D23" s="7" t="inlineStr">
        <is>
          <t>Gov-grade IP + team</t>
        </is>
      </c>
    </row>
    <row r="24">
      <c r="A24" s="7" t="inlineStr">
        <is>
          <t>Texts.com → Automattic</t>
        </is>
      </c>
      <c r="B24" s="7" t="n">
        <v>2023</v>
      </c>
      <c r="C24" s="32" t="n">
        <v>50</v>
      </c>
      <c r="D24" s="7" t="inlineStr">
        <is>
          <t>Smaller multi-platform play</t>
        </is>
      </c>
    </row>
    <row r="26">
      <c r="A26" s="4" t="inlineStr">
        <is>
          <t>Comp set median:</t>
        </is>
      </c>
      <c r="C26" s="33">
        <f>MEDIAN(C18:C24)</f>
        <v/>
      </c>
    </row>
    <row r="27">
      <c r="A27" s="4" t="inlineStr">
        <is>
          <t>Adjusted for full-stack (4 platforms) +20%:</t>
        </is>
      </c>
      <c r="C27" s="34">
        <f>C26*1.2</f>
        <v/>
      </c>
    </row>
    <row r="28">
      <c r="A28" s="4" t="inlineStr">
        <is>
          <t>Discount for no audience (–25%):</t>
        </is>
      </c>
      <c r="C28" s="34">
        <f>C27*0.75</f>
        <v/>
      </c>
    </row>
    <row r="29">
      <c r="A29" s="4" t="inlineStr">
        <is>
          <t>→ Method 2 indicative midpoint:</t>
        </is>
      </c>
      <c r="C29" s="33">
        <f>C28</f>
        <v/>
      </c>
    </row>
    <row r="31">
      <c r="A31" s="3" t="inlineStr">
        <is>
          <t>METHOD 3 — Strategic premium scenarios</t>
        </is>
      </c>
    </row>
    <row r="32">
      <c r="A32" s="6" t="inlineStr">
        <is>
          <t>Scenario</t>
        </is>
      </c>
      <c r="B32" s="6" t="inlineStr">
        <is>
          <t>Multiplier vs base</t>
        </is>
      </c>
      <c r="C32" s="6" t="inlineStr">
        <is>
          <t>Implied value</t>
        </is>
      </c>
      <c r="D32" s="6" t="inlineStr">
        <is>
          <t>Trigger</t>
        </is>
      </c>
    </row>
    <row r="33">
      <c r="A33" s="7" t="inlineStr">
        <is>
          <t>PE / acqui-hire only</t>
        </is>
      </c>
      <c r="B33" s="35" t="n">
        <v>0.4</v>
      </c>
      <c r="C33" s="36">
        <f>C28*B33</f>
        <v/>
      </c>
      <c r="D33" s="7" t="inlineStr">
        <is>
          <t>PE buyer; team retention key; cash + 3-yr earn-out</t>
        </is>
      </c>
    </row>
    <row r="34">
      <c r="A34" s="7" t="inlineStr">
        <is>
          <t>Mid-tier strategic (Proton / Notion / Nord)</t>
        </is>
      </c>
      <c r="B34" s="35" t="n">
        <v>1</v>
      </c>
      <c r="C34" s="36">
        <f>C28*B34</f>
        <v/>
      </c>
      <c r="D34" s="7" t="inlineStr">
        <is>
          <t>Single bidder, no auction</t>
        </is>
      </c>
    </row>
    <row r="35">
      <c r="A35" s="7" t="inlineStr">
        <is>
          <t>Top-tier strategic (Schwarz / Automattic)</t>
        </is>
      </c>
      <c r="B35" s="35" t="n">
        <v>1.4</v>
      </c>
      <c r="C35" s="36">
        <f>C28*B35</f>
        <v/>
      </c>
      <c r="D35" s="7" t="inlineStr">
        <is>
          <t>Clear thesis fit, some bidding</t>
        </is>
      </c>
    </row>
    <row r="36">
      <c r="A36" s="7" t="inlineStr">
        <is>
          <t>Sovereign UAE/KSA + auction</t>
        </is>
      </c>
      <c r="B36" s="35" t="n">
        <v>2.5</v>
      </c>
      <c r="C36" s="36">
        <f>C28*B36</f>
        <v/>
      </c>
      <c r="D36" s="7" t="inlineStr">
        <is>
          <t>Geopolitical premium, full process</t>
        </is>
      </c>
    </row>
    <row r="38">
      <c r="A38" s="3" t="inlineStr">
        <is>
          <t>FOOTBALL FIELD — synthesis</t>
        </is>
      </c>
    </row>
    <row r="39">
      <c r="A39" s="6" t="inlineStr">
        <is>
          <t>Method / scenario</t>
        </is>
      </c>
      <c r="B39" s="6" t="inlineStr">
        <is>
          <t>Low (USD M)</t>
        </is>
      </c>
      <c r="C39" s="6" t="inlineStr">
        <is>
          <t>Mid (USD M)</t>
        </is>
      </c>
      <c r="D39" s="6" t="inlineStr">
        <is>
          <t>High (USD M)</t>
        </is>
      </c>
    </row>
    <row r="40">
      <c r="A40" s="37" t="inlineStr">
        <is>
          <t>Replacement cost (M1)</t>
        </is>
      </c>
      <c r="B40" s="8" t="n">
        <v>40</v>
      </c>
      <c r="C40" s="8" t="n">
        <v>55</v>
      </c>
      <c r="D40" s="8" t="n">
        <v>70</v>
      </c>
    </row>
    <row r="41">
      <c r="A41" s="37" t="inlineStr">
        <is>
          <t>Comparable transactions (M2)</t>
        </is>
      </c>
      <c r="B41" s="8" t="n">
        <v>30</v>
      </c>
      <c r="C41" s="8" t="n">
        <v>50</v>
      </c>
      <c r="D41" s="8" t="n">
        <v>70</v>
      </c>
    </row>
    <row r="42">
      <c r="A42" s="37" t="inlineStr">
        <is>
          <t>Strategic premium scenarios (M3)</t>
        </is>
      </c>
      <c r="B42" s="8" t="n">
        <v>20</v>
      </c>
      <c r="C42" s="8" t="n">
        <v>50</v>
      </c>
      <c r="D42" s="8" t="n">
        <v>130</v>
      </c>
    </row>
    <row r="43">
      <c r="A43" s="37" t="inlineStr">
        <is>
          <t>Football-field consensus (weighted)</t>
        </is>
      </c>
      <c r="B43" s="8" t="n">
        <v>30</v>
      </c>
      <c r="C43" s="8" t="n">
        <v>50</v>
      </c>
      <c r="D43" s="8" t="n">
        <v>75</v>
      </c>
    </row>
    <row r="44">
      <c r="A44" s="38" t="inlineStr">
        <is>
          <t>RECOMMENDED ASK (3–6 mo quick deal)</t>
        </is>
      </c>
      <c r="B44" s="39" t="n">
        <v>45</v>
      </c>
      <c r="C44" s="39" t="n">
        <v>55</v>
      </c>
      <c r="D44" s="39" t="n">
        <v>60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60" customWidth="1" min="3" max="3"/>
    <col width="45" customWidth="1" min="4" max="4"/>
  </cols>
  <sheetData>
    <row r="1">
      <c r="A1" s="1" t="inlineStr">
        <is>
          <t>Recommended process — 3 to 6 months to signing</t>
        </is>
      </c>
    </row>
    <row r="3">
      <c r="A3" s="6" t="inlineStr">
        <is>
          <t>Phase</t>
        </is>
      </c>
      <c r="B3" s="6" t="inlineStr">
        <is>
          <t>Workstream</t>
        </is>
      </c>
      <c r="C3" s="6" t="inlineStr">
        <is>
          <t>Activities</t>
        </is>
      </c>
      <c r="D3" s="6" t="inlineStr">
        <is>
          <t>Deliverables</t>
        </is>
      </c>
    </row>
    <row r="4" ht="80" customHeight="1">
      <c r="A4" s="40" t="inlineStr">
        <is>
          <t>Week 1–2</t>
        </is>
      </c>
      <c r="B4" s="40" t="inlineStr">
        <is>
          <t>Prep</t>
        </is>
      </c>
      <c r="C4" s="7" t="inlineStr">
        <is>
          <t>Build teaser (1 page, blinded) + CIM (15 pages) + 24-month financial summary (cost-build). Engage M&amp;A advisor (boutique with EU sovereign-tech track record — e.g., GP Bullhound, Drake Star, FT Partners, Hampleton).</t>
        </is>
      </c>
      <c r="D4" s="7" t="inlineStr">
        <is>
          <t>Teaser + CIM ready; NDA template; data room v0</t>
        </is>
      </c>
    </row>
    <row r="5" ht="80" customHeight="1">
      <c r="A5" s="40" t="inlineStr">
        <is>
          <t>Week 3–6</t>
        </is>
      </c>
      <c r="B5" s="40" t="inlineStr">
        <is>
          <t>Outreach wave 1</t>
        </is>
      </c>
      <c r="C5" s="7" t="inlineStr">
        <is>
          <t>Hit Tier-A (4 names) + Tier-C top 5 + 2 PE (Comitis, Hg). 11 conversations. Goal: 5 NDAs signed.</t>
        </is>
      </c>
      <c r="D5" s="7" t="inlineStr">
        <is>
          <t>5 NDAs; first IOIs (indications of interest) within 3 weeks</t>
        </is>
      </c>
    </row>
    <row r="6" ht="80" customHeight="1">
      <c r="A6" s="40" t="inlineStr">
        <is>
          <t>Week 7–10</t>
        </is>
      </c>
      <c r="B6" s="40" t="inlineStr">
        <is>
          <t>IOI / Round 1</t>
        </is>
      </c>
      <c r="C6" s="7" t="inlineStr">
        <is>
          <t>Open data room to NDA holders. Q&amp;A; first IOIs received. Use IOI tension to start wave 2 (Tier-B sovereigns, Nord Security, Proton).</t>
        </is>
      </c>
      <c r="D6" s="7" t="inlineStr">
        <is>
          <t>3–5 IOIs at $25–70M range; shortlist of 3 buyers</t>
        </is>
      </c>
    </row>
    <row r="7" ht="80" customHeight="1">
      <c r="A7" s="40" t="inlineStr">
        <is>
          <t>Week 11–16</t>
        </is>
      </c>
      <c r="B7" s="40" t="inlineStr">
        <is>
          <t>Management presentations + DD</t>
        </is>
      </c>
      <c r="C7" s="7" t="inlineStr">
        <is>
          <t>On-site / video presentations. Tech DD (codebase audit), legal DD (IP chain of title), team DD (retention). Crypto/E2E audit by 3rd-party (e.g., Trail of Bits, NCC Group) — buy-side will demand.</t>
        </is>
      </c>
      <c r="D7" s="7" t="inlineStr">
        <is>
          <t>Tech audit clean; 2–3 LOIs (letters of intent)</t>
        </is>
      </c>
    </row>
    <row r="8" ht="80" customHeight="1">
      <c r="A8" s="40" t="inlineStr">
        <is>
          <t>Week 17–22</t>
        </is>
      </c>
      <c r="B8" s="40" t="inlineStr">
        <is>
          <t>LOI + exclusivity + SPA</t>
        </is>
      </c>
      <c r="C8" s="7" t="inlineStr">
        <is>
          <t>Pick best LOI (cash mix, team retention, valuation). 6-week exclusivity. Negotiate SPA (share purchase agreement). Earn-out structure to bridge value gap.</t>
        </is>
      </c>
      <c r="D8" s="7" t="inlineStr">
        <is>
          <t>Signed LOI; SPA drafts; reps &amp; warranties scoped</t>
        </is>
      </c>
    </row>
    <row r="9" ht="80" customHeight="1">
      <c r="A9" s="40" t="inlineStr">
        <is>
          <t>Week 23–26</t>
        </is>
      </c>
      <c r="B9" s="40" t="inlineStr">
        <is>
          <t>Signing → closing</t>
        </is>
      </c>
      <c r="C9" s="7" t="inlineStr">
        <is>
          <t>Sign SPA. Conditions precedent (regulatory if sovereign buyer — CFIUS-equivalent for UAE; FSR for EU). Close in 4–8 weeks for non-sovereign; 3–6 months for sovereign.</t>
        </is>
      </c>
      <c r="D9" s="7" t="inlineStr">
        <is>
          <t>Cash at closing; team lockup 18–36 mo; earn-out if applicable</t>
        </is>
      </c>
    </row>
    <row r="11">
      <c r="A11" s="3" t="inlineStr">
        <is>
          <t>KEY RISKS / WATCHOUTS</t>
        </is>
      </c>
    </row>
    <row r="12" ht="45" customHeight="1">
      <c r="A12" s="4" t="inlineStr">
        <is>
          <t>Proprietary E2E crypto</t>
        </is>
      </c>
      <c r="B12" s="26" t="inlineStr">
        <is>
          <t>Buyer will demand 3rd-party cryptographic audit (≥4 weeks, $30–80K). Get it done pre-process to avoid blocking IOI→LOI step.</t>
        </is>
      </c>
    </row>
    <row r="13" ht="45" customHeight="1">
      <c r="A13" s="4" t="inlineStr">
        <is>
          <t>Team retention</t>
        </is>
      </c>
      <c r="B13" s="26" t="inlineStr">
        <is>
          <t>Buyer pays for team continuity. 18–36-month earn-out + retention bonuses are standard. Founders typically roll 5–15% of value as equity / deferred.</t>
        </is>
      </c>
    </row>
    <row r="14" ht="45" customHeight="1">
      <c r="A14" s="4" t="inlineStr">
        <is>
          <t>'Telegram clone' perception</t>
        </is>
      </c>
      <c r="B14" s="26" t="inlineStr">
        <is>
          <t>Avoid leaning on Telegram comparison in pitch. Position as 'European E2E messaging stack with sovereign-cloud-ready architecture.'</t>
        </is>
      </c>
    </row>
    <row r="15" ht="45" customHeight="1">
      <c r="A15" s="4" t="inlineStr">
        <is>
          <t>Russian/CIS personnel</t>
        </is>
      </c>
      <c r="B15" s="26" t="inlineStr">
        <is>
          <t>Buyer DD will look at all engineers' backgrounds. EU/UK/CH passports + residencies are essential to keep buyer comfort. Confirm before going to market.</t>
        </is>
      </c>
    </row>
    <row r="16" ht="45" customHeight="1">
      <c r="A16" s="4" t="inlineStr">
        <is>
          <t>Sanctions / export control</t>
        </is>
      </c>
      <c r="B16" s="26" t="inlineStr">
        <is>
          <t>E2E crypto = dual-use item under EU/UK regulation. May need export licence transfer. Don't surprise the buyer — pre-clear with legal.</t>
        </is>
      </c>
    </row>
    <row r="17" ht="45" customHeight="1">
      <c r="A17" s="4" t="inlineStr">
        <is>
          <t>CFIUS / FSR / NSI for sovereign buyers</t>
        </is>
      </c>
      <c r="B17" s="26" t="inlineStr">
        <is>
          <t>UAE/KSA/Turkey/India buyers may trigger EU FSR, UK NSI Act, US CFIUS (if any US connection). Add 6–12 weeks to timeline; structure deal to manage.</t>
        </is>
      </c>
    </row>
    <row r="18" ht="45" customHeight="1">
      <c r="A18" s="4" t="inlineStr">
        <is>
          <t>Auction tension is the entire valuation lever</t>
        </is>
      </c>
      <c r="B18" s="26" t="inlineStr">
        <is>
          <t>Without 2+ credible bidders, you'll land at the LOWER end of the football field. Single-bidder discounts run 30–40%.</t>
        </is>
      </c>
    </row>
  </sheetData>
  <mergeCells count="8">
    <mergeCell ref="B14:D14"/>
    <mergeCell ref="B15:D15"/>
    <mergeCell ref="B17:D17"/>
    <mergeCell ref="B18:D18"/>
    <mergeCell ref="B13:D13"/>
    <mergeCell ref="A1:E1"/>
    <mergeCell ref="B12:D12"/>
    <mergeCell ref="B16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8" customWidth="1" min="1" max="1"/>
    <col width="60" customWidth="1" min="2" max="2"/>
    <col width="70" customWidth="1" min="3" max="3"/>
  </cols>
  <sheetData>
    <row r="1">
      <c r="A1" s="1" t="inlineStr">
        <is>
          <t>Sources (research memo basis)</t>
        </is>
      </c>
    </row>
    <row r="3">
      <c r="A3" s="6" t="inlineStr">
        <is>
          <t>Tier</t>
        </is>
      </c>
      <c r="B3" s="6" t="inlineStr">
        <is>
          <t>Topic</t>
        </is>
      </c>
      <c r="C3" s="6" t="inlineStr">
        <is>
          <t>URL</t>
        </is>
      </c>
    </row>
    <row r="4">
      <c r="A4" s="41" t="inlineStr">
        <is>
          <t>T2</t>
        </is>
      </c>
      <c r="B4" s="7" t="inlineStr">
        <is>
          <t>Wickr → AWS acquisition (TechCrunch, Jun 2021)</t>
        </is>
      </c>
      <c r="C4" s="42" t="inlineStr">
        <is>
          <t>https://techcrunch.com/2021/06/25/aws-is-buying-encrypted-messaging-service-wickr/</t>
        </is>
      </c>
    </row>
    <row r="5">
      <c r="A5" s="41" t="inlineStr">
        <is>
          <t>T2</t>
        </is>
      </c>
      <c r="B5" s="7" t="inlineStr">
        <is>
          <t>Beeper → Automattic $125M (TechCrunch, Apr 2024)</t>
        </is>
      </c>
      <c r="C5" s="42" t="inlineStr">
        <is>
          <t>https://techcrunch.com/2024/04/09/wordpress-com-owner-automattic-acquires-multi-service-messaging-app-beeper-for-125m/</t>
        </is>
      </c>
    </row>
    <row r="6">
      <c r="A6" s="41" t="inlineStr">
        <is>
          <t>T2</t>
        </is>
      </c>
      <c r="B6" s="7" t="inlineStr">
        <is>
          <t>Notion acquires Skiff (TechCrunch, Feb 2024)</t>
        </is>
      </c>
      <c r="C6" s="42" t="inlineStr">
        <is>
          <t>https://techcrunch.com/2024/02/09/notion-acquires-privacy-focused-productivity-platform-skiff/</t>
        </is>
      </c>
    </row>
    <row r="7">
      <c r="A7" s="41" t="inlineStr">
        <is>
          <t>T1</t>
        </is>
      </c>
      <c r="B7" s="7" t="inlineStr">
        <is>
          <t>Threema sold to Afinum (Vischer deal note, 2020)</t>
        </is>
      </c>
      <c r="C7" s="42" t="inlineStr">
        <is>
          <t>https://www.vischer.com/en/knowledge/deals-cases/afinum-acquires-threema-38719/</t>
        </is>
      </c>
    </row>
    <row r="8">
      <c r="A8" s="41" t="inlineStr">
        <is>
          <t>T2</t>
        </is>
      </c>
      <c r="B8" s="7" t="inlineStr">
        <is>
          <t>Threema sold to Comitis Capital (Privacy Guides, Jan 2026)</t>
        </is>
      </c>
      <c r="C8" s="42" t="inlineStr">
        <is>
          <t>https://www.privacyguides.org/news/2026/01/16/another-private-equity-firm-acquires-threema/</t>
        </is>
      </c>
    </row>
    <row r="9">
      <c r="A9" s="41" t="inlineStr">
        <is>
          <t>T2</t>
        </is>
      </c>
      <c r="B9" s="7" t="inlineStr">
        <is>
          <t>Symphony valuation history (Crunchbase / PitchBook)</t>
        </is>
      </c>
      <c r="C9" s="42" t="inlineStr">
        <is>
          <t>https://www.crunchbase.com/organization/symphony-3</t>
        </is>
      </c>
    </row>
    <row r="10">
      <c r="A10" s="41" t="inlineStr">
        <is>
          <t>T2</t>
        </is>
      </c>
      <c r="B10" s="7" t="inlineStr">
        <is>
          <t>Element / Matrix government contracts (UKTN, 2021; The Register Feb 2026)</t>
        </is>
      </c>
      <c r="C10" s="42" t="inlineStr">
        <is>
          <t>https://www.theregister.com/2026/02/09/matrix_element_secure_chat/</t>
        </is>
      </c>
    </row>
    <row r="11">
      <c r="A11" s="41" t="inlineStr">
        <is>
          <t>T2</t>
        </is>
      </c>
      <c r="B11" s="7" t="inlineStr">
        <is>
          <t>Wire Series C €24M + Schwarz Group partnership (TechCrunch / Wire blog, 2022 / 2024)</t>
        </is>
      </c>
      <c r="C11" s="42" t="inlineStr">
        <is>
          <t>https://wire.com/en/blog/schwarzgruppe-partnership</t>
        </is>
      </c>
    </row>
    <row r="12">
      <c r="A12" s="41" t="inlineStr">
        <is>
          <t>T1</t>
        </is>
      </c>
      <c r="B12" s="7" t="inlineStr">
        <is>
          <t>Schwarz Digits invests in Wire (corporate press, 2024)</t>
        </is>
      </c>
      <c r="C12" s="42" t="inlineStr">
        <is>
          <t>https://schwarz-digits.de/en/presse/archive/2024/focus-on-sovereign-communication-with-wire-schwarz-digits-realigns-digital-service-provider-mmmake</t>
        </is>
      </c>
    </row>
    <row r="13">
      <c r="A13" s="41" t="inlineStr">
        <is>
          <t>T1</t>
        </is>
      </c>
      <c r="B13" s="7" t="inlineStr">
        <is>
          <t>Proton acquires Standard Notes / SimpleLogin (Proton Foundation 2024)</t>
        </is>
      </c>
      <c r="C13" s="42" t="inlineStr">
        <is>
          <t>https://en.wikipedia.org/wiki/Proton_AG</t>
        </is>
      </c>
    </row>
    <row r="14">
      <c r="A14" s="41" t="inlineStr">
        <is>
          <t>T2</t>
        </is>
      </c>
      <c r="B14" s="7" t="inlineStr">
        <is>
          <t>TON Foundation $400M raise — Sequoia/Ribbit/Benchmark (Fortune, Mar 2025)</t>
        </is>
      </c>
      <c r="C14" s="42" t="inlineStr">
        <is>
          <t>https://fortune.com/crypto/2025/03/20/telegram-based-blockchain-ton-raises-400-million-from-prominent-crypto-vcs/</t>
        </is>
      </c>
    </row>
    <row r="15">
      <c r="A15" s="41" t="inlineStr">
        <is>
          <t>T2</t>
        </is>
      </c>
      <c r="B15" s="7" t="inlineStr">
        <is>
          <t>ToTok / G42 / UAE messenger surveillance (NYT 2019; Wikipedia)</t>
        </is>
      </c>
      <c r="C15" s="42" t="inlineStr">
        <is>
          <t>https://en.wikipedia.org/wiki/ToTok</t>
        </is>
      </c>
    </row>
    <row r="16">
      <c r="A16" s="41" t="inlineStr">
        <is>
          <t>T2</t>
        </is>
      </c>
      <c r="B16" s="7" t="inlineStr">
        <is>
          <t>BlackBerry acquires Secusmart (2014)</t>
        </is>
      </c>
      <c r="C16" s="42" t="inlineStr">
        <is>
          <t>https://www.blackberry.com/us/en/company/newsroom/press-releases/2014/blackberry-reinforces-mobile-security-leadership-with-acquisition-of-secusmart</t>
        </is>
      </c>
    </row>
    <row r="17">
      <c r="A17" s="41" t="inlineStr">
        <is>
          <t>T2</t>
        </is>
      </c>
      <c r="B17" s="7" t="inlineStr">
        <is>
          <t>Rakuten → Viber $900M (Rakuten 8-K / TechCrunch 2014)</t>
        </is>
      </c>
      <c r="C17" s="42" t="inlineStr">
        <is>
          <t>https://techcrunch.com/2014/02/13/japanese-internet-giant-rakuten-acquires-viber-for-900m/</t>
        </is>
      </c>
    </row>
    <row r="18">
      <c r="A18" s="41" t="inlineStr">
        <is>
          <t>T2</t>
        </is>
      </c>
      <c r="B18" s="7" t="inlineStr">
        <is>
          <t>BiP — Turk Telekom / Turkcell consortium (Daily Sabah / AA)</t>
        </is>
      </c>
      <c r="C18" s="42" t="inlineStr">
        <is>
          <t>https://www.dailysabah.com/business/tech/turkish-messaging-app-bips-global-users-near-8m</t>
        </is>
      </c>
    </row>
    <row r="19">
      <c r="A19" s="41" t="inlineStr">
        <is>
          <t>T2</t>
        </is>
      </c>
      <c r="B19" s="7" t="inlineStr">
        <is>
          <t>MTN Ayoba super-app, 30M MAU (Telemedia / Afridigest)</t>
        </is>
      </c>
      <c r="C19" s="42" t="inlineStr">
        <is>
          <t>https://afridigest.com/africas-super-app-landscape-evolving/</t>
        </is>
      </c>
    </row>
    <row r="20">
      <c r="A20" s="41" t="inlineStr">
        <is>
          <t>T2</t>
        </is>
      </c>
      <c r="B20" s="7" t="inlineStr">
        <is>
          <t>Nord Security $600M raise / $3B valuation (2024)</t>
        </is>
      </c>
      <c r="C20" s="42" t="inlineStr">
        <is>
          <t>https://www.crunchbase.com/organization/nord-security</t>
        </is>
      </c>
    </row>
    <row r="21">
      <c r="A21" s="41" t="inlineStr">
        <is>
          <t>T2</t>
        </is>
      </c>
      <c r="B21" s="7" t="inlineStr">
        <is>
          <t>Atos / Eviden restructuring (2024–2025 — multiple)</t>
        </is>
      </c>
      <c r="C21" s="42" t="inlineStr">
        <is>
          <t>https://www.reuters.com/business/atos-bds-airbus/</t>
        </is>
      </c>
    </row>
  </sheetData>
  <mergeCells count="1">
    <mergeCell ref="A1:C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2026-05-21T12:13:30Z</dcterms:created>
  <dcterms:modified xmlns:dcterms="http://purl.org/dc/terms/" xmlns:xsi="http://www.w3.org/2001/XMLSchema-instance" xsi:type="dcterms:W3CDTF">2026-05-21T12:13:30Z</dcterms:modified>
</cp:coreProperties>
</file>