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Executive Summary" sheetId="1" state="visible" r:id="rId3"/>
    <sheet name="2. Buyer Longlist" sheetId="2" state="visible" r:id="rId4"/>
    <sheet name="3. Comparable M&amp;A" sheetId="3" state="visible" r:id="rId5"/>
    <sheet name="4. Valuation" sheetId="4" state="visible" r:id="rId6"/>
    <sheet name="5. Process Timeline" sheetId="5" state="visible" r:id="rId7"/>
    <sheet name="6. 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<sst xmlns="http://schemas.openxmlformats.org/spreadsheetml/2006/main" count="822" uniqueCount="660">
  <si>
    <t xml:space="preserve">Project Penumbra — Messenger Asset Sale</t>
  </si>
  <si>
    <t xml:space="preserve">Confidential research memo — Buyer mapping &amp; indicative valuation</t>
  </si>
  <si>
    <t xml:space="preserve">ASSET PROFILE</t>
  </si>
  <si>
    <t xml:space="preserve">Product</t>
  </si>
  <si>
    <t xml:space="preserve">Telegram-class messenger (full stack)</t>
  </si>
  <si>
    <t xml:space="preserve">Clients</t>
  </si>
  <si>
    <t xml:space="preserve">iOS, Android, Web, Desktop</t>
  </si>
  <si>
    <t xml:space="preserve">Backend</t>
  </si>
  <si>
    <t xml:space="preserve">Own server infrastructure + transport protocol</t>
  </si>
  <si>
    <t xml:space="preserve">Security</t>
  </si>
  <si>
    <t xml:space="preserve">Proprietary E2E encryption (own crypto)</t>
  </si>
  <si>
    <t xml:space="preserve">Features</t>
  </si>
  <si>
    <t xml:space="preserve">1:1, groups, channels, voice + video calls, bots / API</t>
  </si>
  <si>
    <t xml:space="preserve">Status</t>
  </si>
  <si>
    <t xml:space="preserve">Tested, production-ready, no audience</t>
  </si>
  <si>
    <t xml:space="preserve">Team</t>
  </si>
  <si>
    <t xml:space="preserve">In place, EU / UK / CH</t>
  </si>
  <si>
    <t xml:space="preserve">IP jurisdiction</t>
  </si>
  <si>
    <t xml:space="preserve">EU / UK / CH (Western-friendly — material to valuation)</t>
  </si>
  <si>
    <t xml:space="preserve">Process target</t>
  </si>
  <si>
    <t xml:space="preserve">Quick deal: 3–6 months, reasonable price</t>
  </si>
  <si>
    <t xml:space="preserve">VALUATION CONCLUSION (3-method football field, USD)</t>
  </si>
  <si>
    <t xml:space="preserve">Scenario</t>
  </si>
  <si>
    <t xml:space="preserve">Low</t>
  </si>
  <si>
    <t xml:space="preserve">Mid</t>
  </si>
  <si>
    <t xml:space="preserve">High</t>
  </si>
  <si>
    <t xml:space="preserve">Driver</t>
  </si>
  <si>
    <t xml:space="preserve">Floor (asset / acqui-hire sale to PE)</t>
  </si>
  <si>
    <t xml:space="preserve">Replacement-cost discount, distressed timing</t>
  </si>
  <si>
    <t xml:space="preserve">Base case — quick strategic sale (3–6 mo)</t>
  </si>
  <si>
    <t xml:space="preserve">Single motivated strategic, no auction</t>
  </si>
  <si>
    <t xml:space="preserve">Mid — competitive process w/ 2–3 bidders</t>
  </si>
  <si>
    <t xml:space="preserve">Auction tension, EU-sovereign narrative</t>
  </si>
  <si>
    <t xml:space="preserve">Upside — sovereign / Gulf strategic premium</t>
  </si>
  <si>
    <t xml:space="preserve">UAE/Saudi/Schwarz-tier buyer, full earn-out</t>
  </si>
  <si>
    <t xml:space="preserve">RECOMMENDED ASK FOR 3–6 MONTH PROCESS</t>
  </si>
  <si>
    <t xml:space="preserve">Headline ask (USD):</t>
  </si>
  <si>
    <t xml:space="preserve">$45–60M</t>
  </si>
  <si>
    <t xml:space="preserve">Walk-away floor:</t>
  </si>
  <si>
    <t xml:space="preserve">$20M cash + 24-mo team retention</t>
  </si>
  <si>
    <t xml:space="preserve">TOP-10 PRIORITY TARGETS (see sheet 2 for full list of 45)</t>
  </si>
  <si>
    <t xml:space="preserve">#</t>
  </si>
  <si>
    <t xml:space="preserve">Buyer</t>
  </si>
  <si>
    <t xml:space="preserve">Type</t>
  </si>
  <si>
    <t xml:space="preserve">HQ</t>
  </si>
  <si>
    <t xml:space="preserve">Why they buy</t>
  </si>
  <si>
    <t xml:space="preserve">Likely band</t>
  </si>
  <si>
    <t xml:space="preserve">Schwarz Digits (Schwarz Group)</t>
  </si>
  <si>
    <t xml:space="preserve">Strategic — sovereign cloud</t>
  </si>
  <si>
    <t xml:space="preserve">Germany</t>
  </si>
  <si>
    <t xml:space="preserve">Already invested in Wire (2024) explicitly for EU sovereign comms. Building competing stack to MS/Google. Best cultural + thesis fit.</t>
  </si>
  <si>
    <t xml:space="preserve">$40–80M</t>
  </si>
  <si>
    <t xml:space="preserve">Proton AG</t>
  </si>
  <si>
    <t xml:space="preserve">Strategic — privacy suite</t>
  </si>
  <si>
    <t xml:space="preserve">Switzerland</t>
  </si>
  <si>
    <t xml:space="preserve">No own messenger; bought Standard Notes (2024), SimpleLogin (2022). Suite-completion logic. Swiss HQ — perfect match if team is CH-aligned.</t>
  </si>
  <si>
    <t xml:space="preserve">$25–50M</t>
  </si>
  <si>
    <t xml:space="preserve">Automattic</t>
  </si>
  <si>
    <t xml:space="preserve">Strategic — messaging portfolio</t>
  </si>
  <si>
    <t xml:space="preserve">USA / global remote</t>
  </si>
  <si>
    <t xml:space="preserve">Paid $125M for Beeper (Apr 2024) + Texts.com (2023). Active acquirer of messaging IP + teams.</t>
  </si>
  <si>
    <t xml:space="preserve">$30–70M</t>
  </si>
  <si>
    <t xml:space="preserve">Notion Labs</t>
  </si>
  <si>
    <t xml:space="preserve">Strategic — comms expansion</t>
  </si>
  <si>
    <t xml:space="preserve">USA</t>
  </si>
  <si>
    <t xml:space="preserve">Bought Skiff (Feb 2024) for IP+team, sunset product. Now launching email. Same playbook fits.</t>
  </si>
  <si>
    <t xml:space="preserve">$20–40M</t>
  </si>
  <si>
    <t xml:space="preserve">G42 / EDGE Group / Presight</t>
  </si>
  <si>
    <t xml:space="preserve">Sovereign tech (UAE)</t>
  </si>
  <si>
    <t xml:space="preserve">Abu Dhabi</t>
  </si>
  <si>
    <t xml:space="preserve">UAE proven appetite for sovereign messenger (ToTok history). EDGE Group acquires Western IP regularly. Largest possible cheque.</t>
  </si>
  <si>
    <t xml:space="preserve">$80–200M</t>
  </si>
  <si>
    <t xml:space="preserve">Saudi STC / PIF / NEOM (sovereign)</t>
  </si>
  <si>
    <t xml:space="preserve">Sovereign tech (KSA)</t>
  </si>
  <si>
    <t xml:space="preserve">Riyadh</t>
  </si>
  <si>
    <t xml:space="preserve">STC building 'Jawwy' super-app. NEOM seeded multiple sovereign-tech bets. Vision 2030 budget.</t>
  </si>
  <si>
    <t xml:space="preserve">$60–150M</t>
  </si>
  <si>
    <t xml:space="preserve">Türk Telekom / Turkcell (BiP consortium)</t>
  </si>
  <si>
    <t xml:space="preserve">Telco super-app</t>
  </si>
  <si>
    <t xml:space="preserve">Istanbul</t>
  </si>
  <si>
    <t xml:space="preserve">BiP at 65M downloads; consortium actively expanding to MENA/SE Asia. Could acquire EU-grade tech as Tier-2 product.</t>
  </si>
  <si>
    <t xml:space="preserve">$20–50M</t>
  </si>
  <si>
    <t xml:space="preserve">Nord Security (NordVPN parent)</t>
  </si>
  <si>
    <t xml:space="preserve">Privacy consumer</t>
  </si>
  <si>
    <t xml:space="preserve">Lithuania</t>
  </si>
  <si>
    <t xml:space="preserve">EU-aligned, well-capitalised ($600M raise), no messenger yet, owns NordPass / NordLayer suite. Suite-expansion candidate.</t>
  </si>
  <si>
    <t xml:space="preserve">$25–45M</t>
  </si>
  <si>
    <t xml:space="preserve">BlackBerry (Secure Communications)</t>
  </si>
  <si>
    <t xml:space="preserve">Enterprise secure comms</t>
  </si>
  <si>
    <t xml:space="preserve">Canada</t>
  </si>
  <si>
    <t xml:space="preserve">Owns SecuSUITE (Secusmart acquisition 2014). Looking to refresh comms portfolio; activist pressure for growth.</t>
  </si>
  <si>
    <t xml:space="preserve">$20–45M</t>
  </si>
  <si>
    <t xml:space="preserve">Atos / Eviden (Bull Sequana / IDnomic)</t>
  </si>
  <si>
    <t xml:space="preserve">EU defence-tech</t>
  </si>
  <si>
    <t xml:space="preserve">France</t>
  </si>
  <si>
    <t xml:space="preserve">Restructured 2024; Eviden retains secure-comms unit. EU sovereign narrative + defence customers. Distressed but strategic.</t>
  </si>
  <si>
    <t xml:space="preserve">$15–40M</t>
  </si>
  <si>
    <t xml:space="preserve">Buyer longlist — 45 named targets, segmented by archetype</t>
  </si>
  <si>
    <t xml:space="preserve">Tier</t>
  </si>
  <si>
    <t xml:space="preserve">Archetype</t>
  </si>
  <si>
    <t xml:space="preserve">Strategic rationale</t>
  </si>
  <si>
    <t xml:space="preserve">Recent relevant precedent</t>
  </si>
  <si>
    <t xml:space="preserve">Likely budget (USD)</t>
  </si>
  <si>
    <t xml:space="preserve">Speed (1-5)</t>
  </si>
  <si>
    <t xml:space="preserve">Priority (1-5)</t>
  </si>
  <si>
    <t xml:space="preserve">How to reach</t>
  </si>
  <si>
    <t xml:space="preserve">A</t>
  </si>
  <si>
    <t xml:space="preserve">Schwarz Digits / Schwarz Group</t>
  </si>
  <si>
    <t xml:space="preserve">Strategic / sovereign cloud</t>
  </si>
  <si>
    <t xml:space="preserve">Already invested in Wire (Apr 2024) explicitly for EU sovereign comms. Building German Microsoft / AWS alternative. Mission-aligned, EU IP is selling point.</t>
  </si>
  <si>
    <t xml:space="preserve">Strategic investment in Wire (2024); €11bn data center; Schwarz Digits division</t>
  </si>
  <si>
    <t xml:space="preserve">Direct: Schwarz Digits BD / M&amp;A team. Warm intro via Wire AG / mmmake.</t>
  </si>
  <si>
    <t xml:space="preserve">Proton AG (Proton Foundation)</t>
  </si>
  <si>
    <t xml:space="preserve">No own messenger; controlled by non-profit Foundation since 2024. Acquired Standard Notes (Apr 2024) and SimpleLogin (2022). Suite-completion play.</t>
  </si>
  <si>
    <t xml:space="preserve">Standard Notes (2024), SimpleLogin (2022) — both undisclosed, est. $5–20M</t>
  </si>
  <si>
    <t xml:space="preserve">Direct: Andy Yen (CEO) or Antonio Cesarano (Head of Corp Dev). Privacy-circle warm intros.</t>
  </si>
  <si>
    <t xml:space="preserve">Automattic Inc.</t>
  </si>
  <si>
    <t xml:space="preserve">USA (remote)</t>
  </si>
  <si>
    <t xml:space="preserve">Bought Beeper $125M (Apr 2024) + Texts.com (Oct 2023). Actively rolling up cross-platform messaging. Eric Migicovsky heads messaging.</t>
  </si>
  <si>
    <t xml:space="preserve">Beeper $125M (Apr 2024); Texts.com undisclosed (2023)</t>
  </si>
  <si>
    <t xml:space="preserve">Direct: Matt Mullenweg / Eric Migicovsky. Public-facing, fast process.</t>
  </si>
  <si>
    <t xml:space="preserve">Strategic — productivity + comms</t>
  </si>
  <si>
    <t xml:space="preserve">Bought Skiff Feb 2024 for IP/team, sunset product. Launching Notion Mail. Repeatable playbook for secure-comms IP.</t>
  </si>
  <si>
    <t xml:space="preserve">Skiff (Feb 2024) — est. $15–30M</t>
  </si>
  <si>
    <t xml:space="preserve">Through Notion BD; intros via Skiff alumni or Notion's investor network (Index, Sequoia).</t>
  </si>
  <si>
    <t xml:space="preserve">B</t>
  </si>
  <si>
    <t xml:space="preserve">G42 / Presight / Inception (UAE)</t>
  </si>
  <si>
    <t xml:space="preserve">Sovereign AI / tech</t>
  </si>
  <si>
    <t xml:space="preserve">Abu Dhabi (UAE)</t>
  </si>
  <si>
    <t xml:space="preserve">Proven sovereign-messenger appetite (ToTok). Chairman Tahnoon bin Zayed = NSA. Largest cheques globally; strong Western IP appetite post-2024 divestment from China.</t>
  </si>
  <si>
    <t xml:space="preserve">Multiple AI / cyber acquisitions; ToTok (2019); divested China holdings 2024</t>
  </si>
  <si>
    <t xml:space="preserve">Via investment banks with Gulf desks (Lazard, Rothschild, EFG-Hermes) or direct G42 corp dev.</t>
  </si>
  <si>
    <t xml:space="preserve">EDGE Group (UAE)</t>
  </si>
  <si>
    <t xml:space="preserve">Sovereign defence-tech</t>
  </si>
  <si>
    <t xml:space="preserve">Tahnoon-linked defence holding; portfolio includes secure-comms (e.g., DarkMatter alumni). Mandated to buy Western defence-relevant IP.</t>
  </si>
  <si>
    <t xml:space="preserve">Multiple cyber/comms acquisitions 2022–2024 (BEACON RED, KATIM)</t>
  </si>
  <si>
    <t xml:space="preserve">EDGE corp dev directly; via UAE-based M&amp;A advisors (Pillsbury, Al Tamimi).</t>
  </si>
  <si>
    <t xml:space="preserve">STC Group / Saudi PIF / NEOM (KSA)</t>
  </si>
  <si>
    <t xml:space="preserve">Sovereign telco / Vision 2030</t>
  </si>
  <si>
    <t xml:space="preserve">STC has 'Jawwy' super-app ambitions. PIF + NEOM funded multiple sovereign-tech bets (HUMAIN). KSA wants sovereign messenger as MS/Telegram alternative.</t>
  </si>
  <si>
    <t xml:space="preserve">HUMAIN-Qualcomm AI MOU (May 2025); STC investments in cloud + content</t>
  </si>
  <si>
    <t xml:space="preserve">Via PIF-mandated advisors (Moelis Riyadh, Lazard); STC International M&amp;A team.</t>
  </si>
  <si>
    <t xml:space="preserve">Türk Telekom + Turkcell (BiP consortium)</t>
  </si>
  <si>
    <t xml:space="preserve">BiP has 65M downloads, ranks #1 in 6 Gulf countries. Consortium expanding aggressively; could buy EU-grade tech to upgrade vs. WhatsApp.</t>
  </si>
  <si>
    <t xml:space="preserve">BiP cross-operator consortium (2021); Turk Telekom $3bn concession 2025</t>
  </si>
  <si>
    <t xml:space="preserve">Turkcell international BD; via İş Bankası or Vakıfbank corporate-finance arms.</t>
  </si>
  <si>
    <t xml:space="preserve">Reliance Jio / Jio Platforms (India)</t>
  </si>
  <si>
    <t xml:space="preserve">Mumbai</t>
  </si>
  <si>
    <t xml:space="preserve">Jio building broader 'JioChat' ambitions; backed by Meta, Google, KKR investments in Jio Platforms 2020. Local messenger sovereignty in India context.</t>
  </si>
  <si>
    <t xml:space="preserve">Jio Platforms raised &gt;$20bn 2020; multiple consumer-tech acquisitions</t>
  </si>
  <si>
    <t xml:space="preserve">$30–80M</t>
  </si>
  <si>
    <t xml:space="preserve">Through Jio Platforms M&amp;A; via Reliance corporate-finance team (Goldman, Morgan Stanley relationships).</t>
  </si>
  <si>
    <t xml:space="preserve">Telkomsel / GoTo Group (Indonesia)</t>
  </si>
  <si>
    <t xml:space="preserve">Telco / super-app</t>
  </si>
  <si>
    <t xml:space="preserve">Jakarta</t>
  </si>
  <si>
    <t xml:space="preserve">GoTo (Gojek-Tokopedia) building super-app; Telkomsel 65% owner. Domestic messenger sovereignty agenda.</t>
  </si>
  <si>
    <t xml:space="preserve">Telkomsel-GoTo merger 2021; ongoing super-app build</t>
  </si>
  <si>
    <t xml:space="preserve">GoTo Group corp dev; Singtel-linked dealmakers (Telkomsel parent group).</t>
  </si>
  <si>
    <t xml:space="preserve">Vietnam Posts &amp; Telecommunications Group (VNPT)</t>
  </si>
  <si>
    <t xml:space="preserve">State telco</t>
  </si>
  <si>
    <t xml:space="preserve">Hanoi</t>
  </si>
  <si>
    <t xml:space="preserve">Zalo (VNG) is dominant local messenger but state-owned VNPT wants own stack. Sovereignty agenda.</t>
  </si>
  <si>
    <t xml:space="preserve">VNPT digital transformation 2023–2025</t>
  </si>
  <si>
    <t xml:space="preserve">$15–35M</t>
  </si>
  <si>
    <t xml:space="preserve">Via Vietnam-focused M&amp;A boutiques; Embassy commercial attaché.</t>
  </si>
  <si>
    <t xml:space="preserve">Atos / Eviden</t>
  </si>
  <si>
    <t xml:space="preserve">Paris / Munich</t>
  </si>
  <si>
    <t xml:space="preserve">Restructured 2024; Eviden carved out for defence/cyber. Big Tech alternative narrative for EU sovereignty. Distressed = motivated.</t>
  </si>
  <si>
    <t xml:space="preserve">Multiple cyber divestments 2024; BDS sale to Airbus pending</t>
  </si>
  <si>
    <t xml:space="preserve">Eviden corp dev directly; PJT Partners or Lazard (advisors on Atos restructuring).</t>
  </si>
  <si>
    <t xml:space="preserve">Thales Group (DIS division)</t>
  </si>
  <si>
    <t xml:space="preserve">Defence / secure ID</t>
  </si>
  <si>
    <t xml:space="preserve">Paris</t>
  </si>
  <si>
    <t xml:space="preserve">Owns Gemalto (€4.8B, 2019); secure-comms for govts. Could integrate messenger into sovereign govt offering.</t>
  </si>
  <si>
    <t xml:space="preserve">Gemalto €4.8B (2019); Imperva €3.6B (2023)</t>
  </si>
  <si>
    <t xml:space="preserve">Thales DIS BD; via French govt-linked M&amp;A advisors (Lazard Paris, Messier).</t>
  </si>
  <si>
    <t xml:space="preserve">Leonardo S.p.A.</t>
  </si>
  <si>
    <t xml:space="preserve">Defence / cyber</t>
  </si>
  <si>
    <t xml:space="preserve">Rome</t>
  </si>
  <si>
    <t xml:space="preserve">EU's #2 defence prime; growing cyber division. Has secure-comms for militaries. Italian state shareholder = sovereign mandate.</t>
  </si>
  <si>
    <t xml:space="preserve">Cyber acquisitions in CY Lab Italy network 2022–2024</t>
  </si>
  <si>
    <t xml:space="preserve">Leonardo Cyber &amp; Security Solutions M&amp;A; via Mediobanca.</t>
  </si>
  <si>
    <t xml:space="preserve">Indra Sistemas</t>
  </si>
  <si>
    <t xml:space="preserve">Defence / govt-tech</t>
  </si>
  <si>
    <t xml:space="preserve">Madrid</t>
  </si>
  <si>
    <t xml:space="preserve">Spanish state-aligned; defence + transport + secure comms. Mandated to consolidate EU sovereign-tech.</t>
  </si>
  <si>
    <t xml:space="preserve">Smaller bolt-on cyber acquisitions 2022–2024</t>
  </si>
  <si>
    <t xml:space="preserve">Indra defence M&amp;A directly; via Banco Santander / BBVA M&amp;A teams.</t>
  </si>
  <si>
    <t xml:space="preserve">Rheinmetall / Hensoldt / KMW (Germany)</t>
  </si>
  <si>
    <t xml:space="preserve">Defence prime</t>
  </si>
  <si>
    <t xml:space="preserve">Düsseldorf</t>
  </si>
  <si>
    <t xml:space="preserve">German defence reaching for sovereign cyber. Hensoldt growing through M&amp;A.</t>
  </si>
  <si>
    <t xml:space="preserve">Hensoldt acquired ESG 2023 (~€730M); Rheinmetall multiple defence-tech buys 2024</t>
  </si>
  <si>
    <t xml:space="preserve">$25–60M</t>
  </si>
  <si>
    <t xml:space="preserve">Hensoldt/Rheinmetall corp dev; Berenberg / Deutsche Bank advisors.</t>
  </si>
  <si>
    <t xml:space="preserve">Rohde &amp; Schwarz Cybersecurity</t>
  </si>
  <si>
    <t xml:space="preserve">Defence / RF + cyber</t>
  </si>
  <si>
    <t xml:space="preserve">Munich</t>
  </si>
  <si>
    <t xml:space="preserve">Private German group; has secure-comms (Topsec / R&amp;S Trusted Communications). Mandated to expand cyber portfolio.</t>
  </si>
  <si>
    <t xml:space="preserve">Multiple cyber acquisitions (LANCOM, gateprotect)</t>
  </si>
  <si>
    <t xml:space="preserve">Cybersecurity division BD directly; private — needs direct intro via DE defence ecosystem.</t>
  </si>
  <si>
    <t xml:space="preserve">BAE Systems Digital Intelligence</t>
  </si>
  <si>
    <t xml:space="preserve">UK</t>
  </si>
  <si>
    <t xml:space="preserve">Acquired Detica (2008); maintains secure-comms for UK MoD, GCHQ. UK sovereignty agenda post-Brexit.</t>
  </si>
  <si>
    <t xml:space="preserve">Detica £531M (2008); Eurostep 2022; In-Space Missions 2021</t>
  </si>
  <si>
    <t xml:space="preserve">BAE DI corp dev; via UK MoD ecosystem (Defence &amp; Security Accelerator).</t>
  </si>
  <si>
    <t xml:space="preserve">L3Harris Technologies</t>
  </si>
  <si>
    <t xml:space="preserve">US defence prime</t>
  </si>
  <si>
    <t xml:space="preserve">Florida</t>
  </si>
  <si>
    <t xml:space="preserve">Built tactical-comms business; growth via secure-comms M&amp;A. Less likely for EU IP but possible if FCC/CFIUS friendly.</t>
  </si>
  <si>
    <t xml:space="preserve">Aerojet Rocketdyne (2023, $4.7B); multiple comms bolt-ons</t>
  </si>
  <si>
    <t xml:space="preserve">L3Harris corp dev; via Houlihan Lokey US defence team. CFIUS-heavy.</t>
  </si>
  <si>
    <t xml:space="preserve">C</t>
  </si>
  <si>
    <t xml:space="preserve">BlackBerry Ltd (Secure Comms)</t>
  </si>
  <si>
    <t xml:space="preserve">Waterloo (Canada)</t>
  </si>
  <si>
    <t xml:space="preserve">Owns SecuSUITE / Secusmart (acquired 2014). Activist pressure for growth. Refreshing secure-comms portfolio for govt market.</t>
  </si>
  <si>
    <t xml:space="preserve">Cylance $1.4B (2019); Secusmart undisclosed (2014, est. €100M)</t>
  </si>
  <si>
    <t xml:space="preserve">BlackBerry corp dev / John Giamatteo (CEO). Public, fast-decision.</t>
  </si>
  <si>
    <t xml:space="preserve">Symphony Communication Services</t>
  </si>
  <si>
    <t xml:space="preserve">B2B finance comms</t>
  </si>
  <si>
    <t xml:space="preserve">USA / UK</t>
  </si>
  <si>
    <t xml:space="preserve">Bank-owned secure messenger; $1.4B valuation, 600K users, $198M rev (2024). Wants consumer-grade stack to expand TAM.</t>
  </si>
  <si>
    <t xml:space="preserve">Perzo (2014, $66M founding); 14 banks own shares</t>
  </si>
  <si>
    <t xml:space="preserve">Symphony corp dev; via Goldman / JPM (shareholders).</t>
  </si>
  <si>
    <t xml:space="preserve">Cisco (Webex / Security)</t>
  </si>
  <si>
    <t xml:space="preserve">Enterprise UC</t>
  </si>
  <si>
    <t xml:space="preserve">San Jose</t>
  </si>
  <si>
    <t xml:space="preserve">Webex needs differentiation vs Teams/Zoom; Cisco aggressively buying security (Splunk $28B). Secure-messenger fits.</t>
  </si>
  <si>
    <t xml:space="preserve">Splunk $28B (2024); Isovalent (2024); Lightspin (2023)</t>
  </si>
  <si>
    <t xml:space="preserve">Cisco corp dev / Webex BD. Long sales cycle but real.</t>
  </si>
  <si>
    <t xml:space="preserve">RingCentral</t>
  </si>
  <si>
    <t xml:space="preserve">Public-co competing with Zoom/MS; messaging differentiation needed. Net cash + activist pressure.</t>
  </si>
  <si>
    <t xml:space="preserve">Hopin assets (2023); smaller messaging bolt-ons</t>
  </si>
  <si>
    <t xml:space="preserve">RingCentral corp dev; via JP Morgan.</t>
  </si>
  <si>
    <t xml:space="preserve">8x8 Inc.</t>
  </si>
  <si>
    <t xml:space="preserve">Smaller player; integrated UC suite. Less likely cheque size but possible for IP+team only.</t>
  </si>
  <si>
    <t xml:space="preserve">Wavecell $125M (2019); Atos UCaaS (2024)</t>
  </si>
  <si>
    <t xml:space="preserve">$10–25M</t>
  </si>
  <si>
    <t xml:space="preserve">8x8 corp dev directly.</t>
  </si>
  <si>
    <t xml:space="preserve">Mitel Networks</t>
  </si>
  <si>
    <t xml:space="preserve">Enterprise UC / PE-owned</t>
  </si>
  <si>
    <t xml:space="preserve">PE-owned (Searchlight); restructuring. Could acquire IP cheaply to refresh product.</t>
  </si>
  <si>
    <t xml:space="preserve">Unify €0 (2024 take-on from Atos)</t>
  </si>
  <si>
    <t xml:space="preserve">$8–20M</t>
  </si>
  <si>
    <t xml:space="preserve">Mitel CEO Tarun Loomba / Searchlight Capital.</t>
  </si>
  <si>
    <t xml:space="preserve">Avaya (PE-owned, RingCentral partnership)</t>
  </si>
  <si>
    <t xml:space="preserve">Post-Ch11; new ownership. Less likely buyer but possible for secure-comms differentiation.</t>
  </si>
  <si>
    <t xml:space="preserve">Post-restructuring 2024; partnered RingCentral</t>
  </si>
  <si>
    <t xml:space="preserve">$5–15M</t>
  </si>
  <si>
    <t xml:space="preserve">Avaya new mgmt; via Centerbridge or others.</t>
  </si>
  <si>
    <t xml:space="preserve">Zoom Communications</t>
  </si>
  <si>
    <t xml:space="preserve">Enterprise UC + AI</t>
  </si>
  <si>
    <t xml:space="preserve">Zoom Phone + Team Chat needs differentiation; net cash $6B+. Has Keybase team (acquired 2020) but underused.</t>
  </si>
  <si>
    <t xml:space="preserve">Keybase (2020); Five9 attempt $14.7B (2021, failed); Workvivo (2023)</t>
  </si>
  <si>
    <t xml:space="preserve">Zoom corp dev; CEO Eric Yuan public process. Fast decision-maker.</t>
  </si>
  <si>
    <t xml:space="preserve">D</t>
  </si>
  <si>
    <t xml:space="preserve">Nord Security (NordVPN, NordPass, NordLayer)</t>
  </si>
  <si>
    <t xml:space="preserve">Privacy suite</t>
  </si>
  <si>
    <t xml:space="preserve">Vilnius (Lithuania)</t>
  </si>
  <si>
    <t xml:space="preserve">Raised $600M at $3B valuation (Apr 2024). EU-based, suite-builder strategy. No messenger yet. Cleanest cultural fit after Schwarz/Proton.</t>
  </si>
  <si>
    <t xml:space="preserve">Cyberium (2022); Atlas VPN (2022); Surfshark merger (2022)</t>
  </si>
  <si>
    <t xml:space="preserve">Direct: Tom Okman / Eimantas Sabaliauskas (Nord Sec exec team).</t>
  </si>
  <si>
    <t xml:space="preserve">Surfshark / Kape Technologies</t>
  </si>
  <si>
    <t xml:space="preserve">Consumer VPN+privacy roll-up</t>
  </si>
  <si>
    <t xml:space="preserve">London / Cyprus</t>
  </si>
  <si>
    <t xml:space="preserve">Kape rolled up VPN+privacy; private since 2024. Cash-rich; messenger could be next ad-on.</t>
  </si>
  <si>
    <t xml:space="preserve">ExpressVPN $936M (2021); CyberGhost; Private Internet Access</t>
  </si>
  <si>
    <t xml:space="preserve">Kape (now private) CEO Ido Erlichman; via Unikmind capital.</t>
  </si>
  <si>
    <t xml:space="preserve">Mullvad (PrivateInternetAccess alumni)</t>
  </si>
  <si>
    <t xml:space="preserve">Privacy boutique</t>
  </si>
  <si>
    <t xml:space="preserve">Sweden</t>
  </si>
  <si>
    <t xml:space="preserve">Small, privacy-pure, unlikely big cheque but ideological fit. Long shot.</t>
  </si>
  <si>
    <t xml:space="preserve">Public no major M&amp;A history</t>
  </si>
  <si>
    <t xml:space="preserve">$3–10M</t>
  </si>
  <si>
    <t xml:space="preserve">Direct to Daniel Berntsson / founders.</t>
  </si>
  <si>
    <t xml:space="preserve">Tutanota (Tuta Mail)</t>
  </si>
  <si>
    <t xml:space="preserve">Privacy email</t>
  </si>
  <si>
    <t xml:space="preserve">Hannover</t>
  </si>
  <si>
    <t xml:space="preserve">EU privacy player, no messenger. Smaller balance sheet; co-acquisition with PE could work.</t>
  </si>
  <si>
    <t xml:space="preserve">Bootstrapped; no M&amp;A</t>
  </si>
  <si>
    <t xml:space="preserve">Founders Matthias Pfau / Arne Möhle directly.</t>
  </si>
  <si>
    <t xml:space="preserve">DuckDuckGo</t>
  </si>
  <si>
    <t xml:space="preserve">Search + browser; expanding privacy stack. Cash-rich, unlikely first move into messenger but possible.</t>
  </si>
  <si>
    <t xml:space="preserve">No major M&amp;A history</t>
  </si>
  <si>
    <t xml:space="preserve">Gabriel Weinberg (CEO) directly.</t>
  </si>
  <si>
    <t xml:space="preserve">Brave Software</t>
  </si>
  <si>
    <t xml:space="preserve">Privacy browser + Web3</t>
  </si>
  <si>
    <t xml:space="preserve">Has Brave Talk (Jitsi); doesn't have messenger. Could complement via crypto angle (BAT).</t>
  </si>
  <si>
    <t xml:space="preserve">Tailcat / Brave Search (2021)</t>
  </si>
  <si>
    <t xml:space="preserve">Brendan Eich (CEO) directly. Crypto-native diligence.</t>
  </si>
  <si>
    <t xml:space="preserve">E</t>
  </si>
  <si>
    <t xml:space="preserve">TON Foundation / Telegram Open Network</t>
  </si>
  <si>
    <t xml:space="preserve">Crypto ecosystem fund</t>
  </si>
  <si>
    <t xml:space="preserve">Switzerland (Zug)</t>
  </si>
  <si>
    <t xml:space="preserve">Has $1B+ ecosystem fund; raised $400M Mar 2025 (Sequoia, Ribbit, Benchmark). Plan B Telegram-aligned messenger could be valuable hedge or layer.</t>
  </si>
  <si>
    <t xml:space="preserve">$400M token round (Mar 2025); xAI $200M into Telegram (2025)</t>
  </si>
  <si>
    <t xml:space="preserve">TON Foundation BD; via Sequoia or Ribbit (LPs).</t>
  </si>
  <si>
    <t xml:space="preserve">Solana Foundation</t>
  </si>
  <si>
    <t xml:space="preserve">L1 ecosystem</t>
  </si>
  <si>
    <t xml:space="preserve">Aggressive ecosystem development; consumer-app focus (Solana Mobile). Could fund messenger layer.</t>
  </si>
  <si>
    <t xml:space="preserve">Multiple grants; no large cash M&amp;A history</t>
  </si>
  <si>
    <t xml:space="preserve">$10–30M</t>
  </si>
  <si>
    <t xml:space="preserve">Solana Foundation grants / Anatoly Yakovenko.</t>
  </si>
  <si>
    <t xml:space="preserve">Polkadot / Web3 Foundation</t>
  </si>
  <si>
    <t xml:space="preserve">Zug</t>
  </si>
  <si>
    <t xml:space="preserve">EU-friendly; sovereign-decentralisation thesis. Less M&amp;A history.</t>
  </si>
  <si>
    <t xml:space="preserve">Grant programs only</t>
  </si>
  <si>
    <t xml:space="preserve">$5–20M</t>
  </si>
  <si>
    <t xml:space="preserve">Web3 Foundation / Gavin Wood.</t>
  </si>
  <si>
    <t xml:space="preserve">Sui / Mysten Labs / Aptos</t>
  </si>
  <si>
    <t xml:space="preserve">L1 Move-based</t>
  </si>
  <si>
    <t xml:space="preserve">Cash-rich (raised $300M+ each); consumer-app push. Long-shot but possible.</t>
  </si>
  <si>
    <t xml:space="preserve">Various small grants</t>
  </si>
  <si>
    <t xml:space="preserve">Mysten Labs corp dev; via a16z (investor).</t>
  </si>
  <si>
    <t xml:space="preserve">F</t>
  </si>
  <si>
    <t xml:space="preserve">Comitis Capital</t>
  </si>
  <si>
    <t xml:space="preserve">PE — secure comms</t>
  </si>
  <si>
    <t xml:space="preserve">Just acquired Threema (Jan 2026). Building EU secure-comms platform. Most likely PE buyer.</t>
  </si>
  <si>
    <t xml:space="preserve">Threema (Jan 2026, undisclosed, est. €30–60M); other DE software</t>
  </si>
  <si>
    <t xml:space="preserve">Comitis Capital partners directly; via PWC / KPMG DACH M&amp;A.</t>
  </si>
  <si>
    <t xml:space="preserve">Afinum Management</t>
  </si>
  <si>
    <t xml:space="preserve">PE — DACH mid-cap</t>
  </si>
  <si>
    <t xml:space="preserve">Sold Threema to Comitis (Jan 2026); proceeds free; mandate intact. Could re-enter.</t>
  </si>
  <si>
    <t xml:space="preserve">Threema 2020–2026 cycle (entry + exit)</t>
  </si>
  <si>
    <t xml:space="preserve">Afinum partners directly.</t>
  </si>
  <si>
    <t xml:space="preserve">Hg Capital</t>
  </si>
  <si>
    <t xml:space="preserve">PE — EU enterprise software</t>
  </si>
  <si>
    <t xml:space="preserve">London</t>
  </si>
  <si>
    <t xml:space="preserve">Massive EU software-focused PE; sovereign-comms fits 'critical infrastructure' thesis.</t>
  </si>
  <si>
    <t xml:space="preserve">Visma, IRIS, Sovos — multiple multi-bn deals</t>
  </si>
  <si>
    <t xml:space="preserve">Hg software partners (Nick Jordan, Justin von Simson).</t>
  </si>
  <si>
    <t xml:space="preserve">EQT Partners (BPEA, EQT Mid-cap)</t>
  </si>
  <si>
    <t xml:space="preserve">PE — Nordics + EU</t>
  </si>
  <si>
    <t xml:space="preserve">Stockholm</t>
  </si>
  <si>
    <t xml:space="preserve">Tech / cyber portfolio (Acronis $3.5B, Trustly, Suse). Sovereign-comms fits EU narrative.</t>
  </si>
  <si>
    <t xml:space="preserve">Acronis $3.5B (2024); Trustly; Idealista</t>
  </si>
  <si>
    <t xml:space="preserve">EQT mid-market team; via SEB / Carnegie.</t>
  </si>
  <si>
    <t xml:space="preserve">Thoma Bravo</t>
  </si>
  <si>
    <t xml:space="preserve">PE — software / cyber</t>
  </si>
  <si>
    <t xml:space="preserve">Largest cyber-software PE; lots of dry powder; but typically wants revenue. Less likely for no-audience asset.</t>
  </si>
  <si>
    <t xml:space="preserve">ForgeRock, Sailpoint, Ping Identity — all multi-bn</t>
  </si>
  <si>
    <t xml:space="preserve">Thoma Bravo cyber team; via Goldman / MS.</t>
  </si>
  <si>
    <t xml:space="preserve">Vista Equity Partners</t>
  </si>
  <si>
    <t xml:space="preserve">PE — enterprise software</t>
  </si>
  <si>
    <t xml:space="preserve">Software-focused; less natural fit (wants ARR) but possible carve-in to portfolio co.</t>
  </si>
  <si>
    <t xml:space="preserve">Citrix $16.5B; Avalara $8.4B</t>
  </si>
  <si>
    <t xml:space="preserve">Vista flagship fund; needs revenue story.</t>
  </si>
  <si>
    <t xml:space="preserve">Insight Partners</t>
  </si>
  <si>
    <t xml:space="preserve">Growth / PE</t>
  </si>
  <si>
    <t xml:space="preserve">Wide tech portfolio; could be platform play. Cybersecurity-heavy.</t>
  </si>
  <si>
    <t xml:space="preserve">Multiple cyber roll-ups (BlueVoyant, Recorded Future origin)</t>
  </si>
  <si>
    <t xml:space="preserve">Insight EU team (London); via Insight portfolio operators.</t>
  </si>
  <si>
    <t xml:space="preserve">G</t>
  </si>
  <si>
    <t xml:space="preserve">Nebius Group (ex-Yandex N.V.)</t>
  </si>
  <si>
    <t xml:space="preserve">Listed EU tech (Russia-exit)</t>
  </si>
  <si>
    <t xml:space="preserve">Amsterdam</t>
  </si>
  <si>
    <t xml:space="preserve">Post-Yandex split; building EU AI/data biz. Net cash ~$2B. Could buy messenger for ecosystem.</t>
  </si>
  <si>
    <t xml:space="preserve">Toloka, TripleTen (post-split)</t>
  </si>
  <si>
    <t xml:space="preserve">Nebius corp dev (Arkady Volozh team); via NL advisors.</t>
  </si>
  <si>
    <t xml:space="preserve">DST Global / Yuri Milner FOs</t>
  </si>
  <si>
    <t xml:space="preserve">Family office</t>
  </si>
  <si>
    <t xml:space="preserve">Israel / US</t>
  </si>
  <si>
    <t xml:space="preserve">Historical bets on messaging (WhatsApp, Telegram, Facebook). Could see strategic angle for an independent messenger.</t>
  </si>
  <si>
    <t xml:space="preserve">Historical: WhatsApp pre-IPO; Facebook; Twitter; Snap</t>
  </si>
  <si>
    <t xml:space="preserve">DST partners directly; via portfolio-co intros.</t>
  </si>
  <si>
    <t xml:space="preserve">Pavel Durov-aligned funds</t>
  </si>
  <si>
    <t xml:space="preserve">UAE</t>
  </si>
  <si>
    <t xml:space="preserve">Owns Telegram; conflict of interest = unlikely BUT could buy to neutralise threat or geo-fork.</t>
  </si>
  <si>
    <t xml:space="preserve">Telegram self-funded; TON token raises</t>
  </si>
  <si>
    <t xml:space="preserve">$0 (conflict) or strategic</t>
  </si>
  <si>
    <t xml:space="preserve">Realistically not buyer — listed for completeness.</t>
  </si>
  <si>
    <t xml:space="preserve">Yusuf Hamied / Indian-DE family offices</t>
  </si>
  <si>
    <t xml:space="preserve">FO</t>
  </si>
  <si>
    <t xml:space="preserve">London / Mumbai</t>
  </si>
  <si>
    <t xml:space="preserve">Growing portfolio of EU tech bets; emerging-markets play.</t>
  </si>
  <si>
    <t xml:space="preserve">Various tech investments</t>
  </si>
  <si>
    <t xml:space="preserve">Via Drewry / family office network.</t>
  </si>
  <si>
    <t xml:space="preserve">Bridgepoint Group</t>
  </si>
  <si>
    <t xml:space="preserve">PE — EU mid-market</t>
  </si>
  <si>
    <t xml:space="preserve">EU mid-cap PE; tech / business-services. Could platform-roll secure comms.</t>
  </si>
  <si>
    <t xml:space="preserve">Calypso Tech; Element Materials Technology</t>
  </si>
  <si>
    <t xml:space="preserve">Bridgepoint partners directly.</t>
  </si>
  <si>
    <t xml:space="preserve">Bharti Airtel / Airtel Africa</t>
  </si>
  <si>
    <t xml:space="preserve">Telco</t>
  </si>
  <si>
    <t xml:space="preserve">India / Africa</t>
  </si>
  <si>
    <t xml:space="preserve">Building digital services; messenger sovereignty for Africa+India markets.</t>
  </si>
  <si>
    <t xml:space="preserve">Multiple acquisitions in Africa fintech</t>
  </si>
  <si>
    <t xml:space="preserve">Bharti Airtel digital BD; via SBI Capital.</t>
  </si>
  <si>
    <t xml:space="preserve">MTN Group (Ayoba)</t>
  </si>
  <si>
    <t xml:space="preserve">Telco super-app — Africa</t>
  </si>
  <si>
    <t xml:space="preserve">Johannesburg</t>
  </si>
  <si>
    <t xml:space="preserve">Ayoba is messaging-led super-app, 30M MAU. Could licence or acquire EU-grade stack to upgrade.</t>
  </si>
  <si>
    <t xml:space="preserve">Ayoba in-house build; partnership-led growth</t>
  </si>
  <si>
    <t xml:space="preserve">MTN Group digital ecosystems team.</t>
  </si>
  <si>
    <t xml:space="preserve">TIER LEGEND</t>
  </si>
  <si>
    <t xml:space="preserve">Tier A</t>
  </si>
  <si>
    <t xml:space="preserve">Strategic acquirer with recent messenger M&amp;A — fastest to close, cleanest narrative</t>
  </si>
  <si>
    <t xml:space="preserve">Tier B</t>
  </si>
  <si>
    <t xml:space="preserve">Sovereign / govt / defence-tech — biggest cheques but slowest cycles (6–18 mo)</t>
  </si>
  <si>
    <t xml:space="preserve">Tier C</t>
  </si>
  <si>
    <t xml:space="preserve">Enterprise / B2B secure-comms — clear strategic fit, mid-tier cheques</t>
  </si>
  <si>
    <t xml:space="preserve">Tier D</t>
  </si>
  <si>
    <t xml:space="preserve">Privacy / consumer security brands — culture fit, mid-tier cheques</t>
  </si>
  <si>
    <t xml:space="preserve">Tier E</t>
  </si>
  <si>
    <t xml:space="preserve">Crypto / Web3 ecosystem — wildcard, only if you accept token-component consideration</t>
  </si>
  <si>
    <t xml:space="preserve">Tier F</t>
  </si>
  <si>
    <t xml:space="preserve">Private equity roll-ups — cash, fast, but want revenue → asset-sale price</t>
  </si>
  <si>
    <t xml:space="preserve">Tier G</t>
  </si>
  <si>
    <t xml:space="preserve">Diaspora / family offices — fast decisions, opportunistic</t>
  </si>
  <si>
    <t xml:space="preserve">Comparable transactions — secure messenger / secure-comms M&amp;A (2014–2026)</t>
  </si>
  <si>
    <t xml:space="preserve">Year</t>
  </si>
  <si>
    <t xml:space="preserve">Target</t>
  </si>
  <si>
    <t xml:space="preserve">Acquirer</t>
  </si>
  <si>
    <t xml:space="preserve">Deal value (USD)</t>
  </si>
  <si>
    <t xml:space="preserve">Users at exit</t>
  </si>
  <si>
    <t xml:space="preserve">Revenue at exit</t>
  </si>
  <si>
    <t xml:space="preserve">Implied tag</t>
  </si>
  <si>
    <t xml:space="preserve">Source / note</t>
  </si>
  <si>
    <t xml:space="preserve">WhatsApp</t>
  </si>
  <si>
    <t xml:space="preserve">Facebook (Meta)</t>
  </si>
  <si>
    <t xml:space="preserve">$19,000M</t>
  </si>
  <si>
    <t xml:space="preserve">~450M</t>
  </si>
  <si>
    <t xml:space="preserve">Negligible</t>
  </si>
  <si>
    <t xml:space="preserve">Per-user $42 (peak consumer messaging premium)</t>
  </si>
  <si>
    <t xml:space="preserve">Disclosed; NOT comparable — sets ceiling for consumer-scale only.</t>
  </si>
  <si>
    <t xml:space="preserve">Viber Media</t>
  </si>
  <si>
    <t xml:space="preserve">Rakuten</t>
  </si>
  <si>
    <t xml:space="preserve">$905M</t>
  </si>
  <si>
    <t xml:space="preserve">~300M</t>
  </si>
  <si>
    <t xml:space="preserve">Modest</t>
  </si>
  <si>
    <t xml:space="preserve">Per-user ~$3; full strategic premium</t>
  </si>
  <si>
    <t xml:space="preserve">Rakuten press release / 8-K; NOT comparable — had massive audience.</t>
  </si>
  <si>
    <t xml:space="preserve">Secusmart GmbH</t>
  </si>
  <si>
    <t xml:space="preserve">BlackBerry</t>
  </si>
  <si>
    <t xml:space="preserve">Undisclosed (~€80–100M est.)</t>
  </si>
  <si>
    <t xml:space="preserve">Gov customers</t>
  </si>
  <si>
    <t xml:space="preserve">Modest gov contracts</t>
  </si>
  <si>
    <t xml:space="preserve">Gov-secure-comms IP+team</t>
  </si>
  <si>
    <t xml:space="preserve">Press: 'reinforces secure-mobile leadership.' German gov + Merkel phone.</t>
  </si>
  <si>
    <t xml:space="preserve">Wickr Inc.</t>
  </si>
  <si>
    <t xml:space="preserve">Amazon Web Services</t>
  </si>
  <si>
    <t xml:space="preserve">Undisclosed (est. $50–100M)</t>
  </si>
  <si>
    <t xml:space="preserve">Enterprise + gov</t>
  </si>
  <si>
    <t xml:space="preserve">~$20–30M est.</t>
  </si>
  <si>
    <t xml:space="preserve">IP+team+gov contracts (NSA-grade)</t>
  </si>
  <si>
    <t xml:space="preserve">TechCrunch: 'raised ~$60M total funding'; undisclosed deal.</t>
  </si>
  <si>
    <t xml:space="preserve">Threema GmbH</t>
  </si>
  <si>
    <t xml:space="preserve">Afinum Management (PE)</t>
  </si>
  <si>
    <t xml:space="preserve">Undisclosed (~€30–50M est.)</t>
  </si>
  <si>
    <t xml:space="preserve">~12M</t>
  </si>
  <si>
    <t xml:space="preserve">Single-digit €M</t>
  </si>
  <si>
    <t xml:space="preserve">Strong audience but small in absolute terms</t>
  </si>
  <si>
    <t xml:space="preserve">Vischer.com deal note; PE buy-out, founders rolled.</t>
  </si>
  <si>
    <t xml:space="preserve">Skiff</t>
  </si>
  <si>
    <t xml:space="preserve">Undisclosed (~$15–30M est.)</t>
  </si>
  <si>
    <t xml:space="preserve">~2M</t>
  </si>
  <si>
    <t xml:space="preserve">Free, no rev</t>
  </si>
  <si>
    <t xml:space="preserve">IP+team acqui-hire; product sunset</t>
  </si>
  <si>
    <t xml:space="preserve">TechCrunch Feb 2024; product killed within 12 months.</t>
  </si>
  <si>
    <t xml:space="preserve">Beeper Inc.</t>
  </si>
  <si>
    <t xml:space="preserve">$125M</t>
  </si>
  <si>
    <t xml:space="preserve">~115K beta</t>
  </si>
  <si>
    <t xml:space="preserve">Aggregator IP + Eric Migicovsky + team</t>
  </si>
  <si>
    <t xml:space="preserve">Automattic announcement / TechCrunch Apr 2024. Closest 'no-audience' premium comp.</t>
  </si>
  <si>
    <t xml:space="preserve">Texts.com</t>
  </si>
  <si>
    <t xml:space="preserve">Undisclosed (~$50M est.)</t>
  </si>
  <si>
    <t xml:space="preserve">Small</t>
  </si>
  <si>
    <t xml:space="preserve">Subs (small)</t>
  </si>
  <si>
    <t xml:space="preserve">Multi-platform messaging client</t>
  </si>
  <si>
    <t xml:space="preserve">Press 2023; rolled into Beeper post-acquisition.</t>
  </si>
  <si>
    <t xml:space="preserve">Perzo Inc. (→ Symphony)</t>
  </si>
  <si>
    <t xml:space="preserve">Goldman + 14 banks</t>
  </si>
  <si>
    <t xml:space="preserve">$66M (founding round)</t>
  </si>
  <si>
    <t xml:space="preserve">0</t>
  </si>
  <si>
    <t xml:space="preserve">IP base for Symphony, bank-funded</t>
  </si>
  <si>
    <t xml:space="preserve">Symphony Wikipedia / TechCrunch. Founding deal — pure IP carve-in.</t>
  </si>
  <si>
    <t xml:space="preserve">Comitis Capital (PE)</t>
  </si>
  <si>
    <t xml:space="preserve">Undisclosed (~€40–60M est.)</t>
  </si>
  <si>
    <t xml:space="preserve">~15M</t>
  </si>
  <si>
    <t xml:space="preserve">€10–15M est.</t>
  </si>
  <si>
    <t xml:space="preserve">Secondary PE buyout 6 years after Afinum entry</t>
  </si>
  <si>
    <t xml:space="preserve">Privacyguides.org / World Today Journal Jan 2026.</t>
  </si>
  <si>
    <t xml:space="preserve">Standard Notes</t>
  </si>
  <si>
    <t xml:space="preserve">Undisclosed (~$5–15M est.)</t>
  </si>
  <si>
    <t xml:space="preserve">Mid-six-figure</t>
  </si>
  <si>
    <t xml:space="preserve">Subs</t>
  </si>
  <si>
    <t xml:space="preserve">Privacy productivity IP</t>
  </si>
  <si>
    <t xml:space="preserve">Proton announcement Apr 2024.</t>
  </si>
  <si>
    <t xml:space="preserve">SimpleLogin</t>
  </si>
  <si>
    <t xml:space="preserve">Undisclosed (~$3–10M est.)</t>
  </si>
  <si>
    <t xml:space="preserve">Email-aliasing IP</t>
  </si>
  <si>
    <t xml:space="preserve">Proton announcement Apr 2022.</t>
  </si>
  <si>
    <t xml:space="preserve">Gemalto</t>
  </si>
  <si>
    <t xml:space="preserve">Thales Group</t>
  </si>
  <si>
    <t xml:space="preserve">€4,800M</t>
  </si>
  <si>
    <t xml:space="preserve">Enterprise/gov</t>
  </si>
  <si>
    <t xml:space="preserve">~€3B revenue</t>
  </si>
  <si>
    <t xml:space="preserve">Secure-ID + comms — sovereignty premium</t>
  </si>
  <si>
    <t xml:space="preserve">Public disclosure 2019.</t>
  </si>
  <si>
    <t xml:space="preserve">KEY TAKEAWAYS FOR VALUATION</t>
  </si>
  <si>
    <t xml:space="preserve">•</t>
  </si>
  <si>
    <t xml:space="preserve">Most directly comparable: Wickr → AWS (no consumer audience, secure-comms IP+team, gov-grade): $50–100M range.</t>
  </si>
  <si>
    <t xml:space="preserve">Floor anchor: Skiff → Notion ($15–30M est.) — pure acqui-hire/IP for messenger-adjacent product, sunset by buyer.</t>
  </si>
  <si>
    <t xml:space="preserve">Ceiling anchor without audience: Beeper → Automattic ($125M) — small audience but strategic-fit premium.</t>
  </si>
  <si>
    <t xml:space="preserve">PE roll-up comps (Threema cycle): €30–60M range — proves EU secure-comms has 'reasonable price' liquidity.</t>
  </si>
  <si>
    <t xml:space="preserve">Avoid leading with Viber / WhatsApp comps — they're per-MAU, you have no MAU. Lead with Wickr / Beeper / Threema.</t>
  </si>
  <si>
    <t xml:space="preserve">Valuation build — 3 methods + football field</t>
  </si>
  <si>
    <t xml:space="preserve">METHOD 1 — Replacement cost (build-from-scratch)</t>
  </si>
  <si>
    <t xml:space="preserve">Value</t>
  </si>
  <si>
    <t xml:space="preserve">Unit</t>
  </si>
  <si>
    <t xml:space="preserve">Rationale</t>
  </si>
  <si>
    <t xml:space="preserve">Engineers required for parity build</t>
  </si>
  <si>
    <t xml:space="preserve">people</t>
  </si>
  <si>
    <t xml:space="preserve">Industry benchmark for Telegram-class build</t>
  </si>
  <si>
    <t xml:space="preserve">Build duration</t>
  </si>
  <si>
    <t xml:space="preserve">years</t>
  </si>
  <si>
    <t xml:space="preserve">From greenfield to tested production</t>
  </si>
  <si>
    <t xml:space="preserve">Fully-loaded cost / engineer / year (EU/UK)</t>
  </si>
  <si>
    <t xml:space="preserve">USD</t>
  </si>
  <si>
    <t xml:space="preserve">Senior-weighted blended; CH +20%</t>
  </si>
  <si>
    <t xml:space="preserve">Base build cost</t>
  </si>
  <si>
    <t xml:space="preserve">Engineers × years × loaded cost</t>
  </si>
  <si>
    <t xml:space="preserve">Protocol / crypto R&amp;D premium</t>
  </si>
  <si>
    <t xml:space="preserve">Own E2E crypto adds 10–15% on top</t>
  </si>
  <si>
    <t xml:space="preserve">Subtotal replacement cost</t>
  </si>
  <si>
    <t xml:space="preserve">Time-to-market / execution risk premium for buyer</t>
  </si>
  <si>
    <t xml:space="preserve">%</t>
  </si>
  <si>
    <t xml:space="preserve">Buyer saves 2–3 yrs + tech risk</t>
  </si>
  <si>
    <t xml:space="preserve">Adjusted replacement cost</t>
  </si>
  <si>
    <t xml:space="preserve">→ Method 1 result range:</t>
  </si>
  <si>
    <t xml:space="preserve">to</t>
  </si>
  <si>
    <t xml:space="preserve">METHOD 2 — Comparable transactions (no-audience IP+team)</t>
  </si>
  <si>
    <t xml:space="preserve">Comp</t>
  </si>
  <si>
    <t xml:space="preserve">Deal value</t>
  </si>
  <si>
    <t xml:space="preserve">Note</t>
  </si>
  <si>
    <t xml:space="preserve">Wickr → AWS</t>
  </si>
  <si>
    <t xml:space="preserve">Midpoint of $50–100M est. (most direct comp)</t>
  </si>
  <si>
    <t xml:space="preserve">Beeper → Automattic</t>
  </si>
  <si>
    <t xml:space="preserve">Ceiling — had small audience but strategic premium</t>
  </si>
  <si>
    <t xml:space="preserve">Skiff → Notion</t>
  </si>
  <si>
    <t xml:space="preserve">Floor — pure IP/acqui-hire, product sunset</t>
  </si>
  <si>
    <t xml:space="preserve">Threema (2020 entry)</t>
  </si>
  <si>
    <t xml:space="preserve">PE entry; had ~10M users</t>
  </si>
  <si>
    <t xml:space="preserve">Threema (2026 exit)</t>
  </si>
  <si>
    <t xml:space="preserve">PE exit 6 yrs later</t>
  </si>
  <si>
    <t xml:space="preserve">Secusmart → BlackBerry</t>
  </si>
  <si>
    <t xml:space="preserve">Gov-grade IP + team</t>
  </si>
  <si>
    <t xml:space="preserve">Texts.com → Automattic</t>
  </si>
  <si>
    <t xml:space="preserve">Smaller multi-platform play</t>
  </si>
  <si>
    <t xml:space="preserve">Comp set median:</t>
  </si>
  <si>
    <t xml:space="preserve">Adjusted for full-stack (4 platforms) +20%:</t>
  </si>
  <si>
    <t xml:space="preserve">Discount for no audience (–25%):</t>
  </si>
  <si>
    <t xml:space="preserve">→ Method 2 indicative midpoint:</t>
  </si>
  <si>
    <t xml:space="preserve">METHOD 3 — Strategic premium scenarios</t>
  </si>
  <si>
    <t xml:space="preserve">Multiplier vs base</t>
  </si>
  <si>
    <t xml:space="preserve">Implied value</t>
  </si>
  <si>
    <t xml:space="preserve">Trigger</t>
  </si>
  <si>
    <t xml:space="preserve">PE / acqui-hire only</t>
  </si>
  <si>
    <t xml:space="preserve">PE buyer; team retention key; cash + 3-yr earn-out</t>
  </si>
  <si>
    <t xml:space="preserve">Mid-tier strategic (Proton / Notion / Nord)</t>
  </si>
  <si>
    <t xml:space="preserve">Single bidder, no auction</t>
  </si>
  <si>
    <t xml:space="preserve">Top-tier strategic (Schwarz / Automattic)</t>
  </si>
  <si>
    <t xml:space="preserve">Clear thesis fit, some bidding</t>
  </si>
  <si>
    <t xml:space="preserve">Sovereign UAE/KSA + auction</t>
  </si>
  <si>
    <t xml:space="preserve">Geopolitical premium, full process</t>
  </si>
  <si>
    <t xml:space="preserve">FOOTBALL FIELD — synthesis</t>
  </si>
  <si>
    <t xml:space="preserve">Method / scenario</t>
  </si>
  <si>
    <t xml:space="preserve">Low (USD M)</t>
  </si>
  <si>
    <t xml:space="preserve">Mid (USD M)</t>
  </si>
  <si>
    <t xml:space="preserve">High (USD M)</t>
  </si>
  <si>
    <t xml:space="preserve">Replacement cost (M1)</t>
  </si>
  <si>
    <t xml:space="preserve">Comparable transactions (M2)</t>
  </si>
  <si>
    <t xml:space="preserve">Strategic premium scenarios (M3)</t>
  </si>
  <si>
    <t xml:space="preserve">Football-field consensus (weighted)</t>
  </si>
  <si>
    <t xml:space="preserve">RECOMMENDED ASK (3–6 mo quick deal)</t>
  </si>
  <si>
    <t xml:space="preserve">Recommended process — 3 to 6 months to signing</t>
  </si>
  <si>
    <t xml:space="preserve">Phase</t>
  </si>
  <si>
    <t xml:space="preserve">Workstream</t>
  </si>
  <si>
    <t xml:space="preserve">Activities</t>
  </si>
  <si>
    <t xml:space="preserve">Deliverables</t>
  </si>
  <si>
    <t xml:space="preserve">Week 1–2</t>
  </si>
  <si>
    <t xml:space="preserve">Prep</t>
  </si>
  <si>
    <t xml:space="preserve">Build teaser (1 page, blinded) + CIM (15 pages) + 24-month financial summary (cost-build). Engage M&amp;A advisor (boutique with EU sovereign-tech track record — e.g., GP Bullhound, Drake Star, FT Partners, Hampleton).</t>
  </si>
  <si>
    <t xml:space="preserve">Teaser + CIM ready; NDA template; data room v0</t>
  </si>
  <si>
    <t xml:space="preserve">Week 3–6</t>
  </si>
  <si>
    <t xml:space="preserve">Outreach wave 1</t>
  </si>
  <si>
    <t xml:space="preserve">Hit Tier-A (4 names) + Tier-C top 5 + 2 PE (Comitis, Hg). 11 conversations. Goal: 5 NDAs signed.</t>
  </si>
  <si>
    <t xml:space="preserve">5 NDAs; first IOIs (indications of interest) within 3 weeks</t>
  </si>
  <si>
    <t xml:space="preserve">Week 7–10</t>
  </si>
  <si>
    <t xml:space="preserve">IOI / Round 1</t>
  </si>
  <si>
    <t xml:space="preserve">Open data room to NDA holders. Q&amp;A; first IOIs received. Use IOI tension to start wave 2 (Tier-B sovereigns, Nord Security, Proton).</t>
  </si>
  <si>
    <t xml:space="preserve">3–5 IOIs at $25–70M range; shortlist of 3 buyers</t>
  </si>
  <si>
    <t xml:space="preserve">Week 11–16</t>
  </si>
  <si>
    <t xml:space="preserve">Management presentations + DD</t>
  </si>
  <si>
    <t xml:space="preserve">On-site / video presentations. Tech DD (codebase audit), legal DD (IP chain of title), team DD (retention). Crypto/E2E audit by 3rd-party (e.g., Trail of Bits, NCC Group) — buy-side will demand.</t>
  </si>
  <si>
    <t xml:space="preserve">Tech audit clean; 2–3 LOIs (letters of intent)</t>
  </si>
  <si>
    <t xml:space="preserve">Week 17–22</t>
  </si>
  <si>
    <t xml:space="preserve">LOI + exclusivity + SPA</t>
  </si>
  <si>
    <t xml:space="preserve">Pick best LOI (cash mix, team retention, valuation). 6-week exclusivity. Negotiate SPA (share purchase agreement). Earn-out structure to bridge value gap.</t>
  </si>
  <si>
    <t xml:space="preserve">Signed LOI; SPA drafts; reps &amp; warranties scoped</t>
  </si>
  <si>
    <t xml:space="preserve">Week 23–26</t>
  </si>
  <si>
    <t xml:space="preserve">Signing → closing</t>
  </si>
  <si>
    <t xml:space="preserve">Sign SPA. Conditions precedent (regulatory if sovereign buyer — CFIUS-equivalent for UAE; FSR for EU). Close in 4–8 weeks for non-sovereign; 3–6 months for sovereign.</t>
  </si>
  <si>
    <t xml:space="preserve">Cash at closing; team lockup 18–36 mo; earn-out if applicable</t>
  </si>
  <si>
    <t xml:space="preserve">KEY RISKS / WATCHOUTS</t>
  </si>
  <si>
    <t xml:space="preserve">Proprietary E2E crypto</t>
  </si>
  <si>
    <t xml:space="preserve">Buyer will demand 3rd-party cryptographic audit (≥4 weeks, $30–80K). Get it done pre-process to avoid blocking IOI→LOI step.</t>
  </si>
  <si>
    <t xml:space="preserve">Team retention</t>
  </si>
  <si>
    <t xml:space="preserve">Buyer pays for team continuity. 18–36-month earn-out + retention bonuses are standard. Founders typically roll 5–15% of value as equity / deferred.</t>
  </si>
  <si>
    <t xml:space="preserve">'Telegram clone' perception</t>
  </si>
  <si>
    <t xml:space="preserve">Avoid leaning on Telegram comparison in pitch. Position as 'European E2E messaging stack with sovereign-cloud-ready architecture.'</t>
  </si>
  <si>
    <t xml:space="preserve">Russian/CIS personnel</t>
  </si>
  <si>
    <t xml:space="preserve">Buyer DD will look at all engineers' backgrounds. EU/UK/CH passports + residencies are essential to keep buyer comfort. Confirm before going to market.</t>
  </si>
  <si>
    <t xml:space="preserve">Sanctions / export control</t>
  </si>
  <si>
    <t xml:space="preserve">E2E crypto = dual-use item under EU/UK regulation. May need export licence transfer. Don't surprise the buyer — pre-clear with legal.</t>
  </si>
  <si>
    <t xml:space="preserve">CFIUS / FSR / NSI for sovereign buyers</t>
  </si>
  <si>
    <t xml:space="preserve">UAE/KSA/Turkey/India buyers may trigger EU FSR, UK NSI Act, US CFIUS (if any US connection). Add 6–12 weeks to timeline; structure deal to manage.</t>
  </si>
  <si>
    <t xml:space="preserve">Auction tension is the entire valuation lever</t>
  </si>
  <si>
    <t xml:space="preserve">Without 2+ credible bidders, you'll land at the LOWER end of the football field. Single-bidder discounts run 30–40%.</t>
  </si>
  <si>
    <t xml:space="preserve">Sources (research memo basis)</t>
  </si>
  <si>
    <t xml:space="preserve">Topic</t>
  </si>
  <si>
    <t xml:space="preserve">URL</t>
  </si>
  <si>
    <t xml:space="preserve">T2</t>
  </si>
  <si>
    <t xml:space="preserve">Wickr → AWS acquisition (TechCrunch, Jun 2021)</t>
  </si>
  <si>
    <t xml:space="preserve">https://techcrunch.com/2021/06/25/aws-is-buying-encrypted-messaging-service-wickr/</t>
  </si>
  <si>
    <t xml:space="preserve">Beeper → Automattic $125M (TechCrunch, Apr 2024)</t>
  </si>
  <si>
    <t xml:space="preserve">https://techcrunch.com/2024/04/09/wordpress-com-owner-automattic-acquires-multi-service-messaging-app-beeper-for-125m/</t>
  </si>
  <si>
    <t xml:space="preserve">Notion acquires Skiff (TechCrunch, Feb 2024)</t>
  </si>
  <si>
    <t xml:space="preserve">https://techcrunch.com/2024/02/09/notion-acquires-privacy-focused-productivity-platform-skiff/</t>
  </si>
  <si>
    <t xml:space="preserve">T1</t>
  </si>
  <si>
    <t xml:space="preserve">Threema sold to Afinum (Vischer deal note, 2020)</t>
  </si>
  <si>
    <t xml:space="preserve">https://www.vischer.com/en/knowledge/deals-cases/afinum-acquires-threema-38719/</t>
  </si>
  <si>
    <t xml:space="preserve">Threema sold to Comitis Capital (Privacy Guides, Jan 2026)</t>
  </si>
  <si>
    <t xml:space="preserve">https://www.privacyguides.org/news/2026/01/16/another-private-equity-firm-acquires-threema/</t>
  </si>
  <si>
    <t xml:space="preserve">Symphony valuation history (Crunchbase / PitchBook)</t>
  </si>
  <si>
    <t xml:space="preserve">https://www.crunchbase.com/organization/symphony-3</t>
  </si>
  <si>
    <t xml:space="preserve">Element / Matrix government contracts (UKTN, 2021; The Register Feb 2026)</t>
  </si>
  <si>
    <t xml:space="preserve">https://www.theregister.com/2026/02/09/matrix_element_secure_chat/</t>
  </si>
  <si>
    <t xml:space="preserve">Wire Series C €24M + Schwarz Group partnership (TechCrunch / Wire blog, 2022 / 2024)</t>
  </si>
  <si>
    <t xml:space="preserve">https://wire.com/en/blog/schwarzgruppe-partnership</t>
  </si>
  <si>
    <t xml:space="preserve">Schwarz Digits invests in Wire (corporate press, 2024)</t>
  </si>
  <si>
    <t xml:space="preserve">https://schwarz-digits.de/en/presse/archive/2024/focus-on-sovereign-communication-with-wire-schwarz-digits-realigns-digital-service-provider-mmmake</t>
  </si>
  <si>
    <t xml:space="preserve">Proton acquires Standard Notes / SimpleLogin (Proton Foundation 2024)</t>
  </si>
  <si>
    <t xml:space="preserve">https://en.wikipedia.org/wiki/Proton_AG</t>
  </si>
  <si>
    <t xml:space="preserve">TON Foundation $400M raise — Sequoia/Ribbit/Benchmark (Fortune, Mar 2025)</t>
  </si>
  <si>
    <t xml:space="preserve">https://fortune.com/crypto/2025/03/20/telegram-based-blockchain-ton-raises-400-million-from-prominent-crypto-vcs/</t>
  </si>
  <si>
    <t xml:space="preserve">ToTok / G42 / UAE messenger surveillance (NYT 2019; Wikipedia)</t>
  </si>
  <si>
    <t xml:space="preserve">https://en.wikipedia.org/wiki/ToTok</t>
  </si>
  <si>
    <t xml:space="preserve">BlackBerry acquires Secusmart (2014)</t>
  </si>
  <si>
    <t xml:space="preserve">https://www.blackberry.com/us/en/company/newsroom/press-releases/2014/blackberry-reinforces-mobile-security-leadership-with-acquisition-of-secusmart</t>
  </si>
  <si>
    <t xml:space="preserve">Rakuten → Viber $900M (Rakuten 8-K / TechCrunch 2014)</t>
  </si>
  <si>
    <t xml:space="preserve">https://techcrunch.com/2014/02/13/japanese-internet-giant-rakuten-acquires-viber-for-900m/</t>
  </si>
  <si>
    <t xml:space="preserve">BiP — Turk Telekom / Turkcell consortium (Daily Sabah / AA)</t>
  </si>
  <si>
    <t xml:space="preserve">https://www.dailysabah.com/business/tech/turkish-messaging-app-bips-global-users-near-8m</t>
  </si>
  <si>
    <t xml:space="preserve">MTN Ayoba super-app, 30M MAU (Telemedia / Afridigest)</t>
  </si>
  <si>
    <t xml:space="preserve">https://afridigest.com/africas-super-app-landscape-evolving/</t>
  </si>
  <si>
    <t xml:space="preserve">Nord Security $600M raise / $3B valuation (2024)</t>
  </si>
  <si>
    <t xml:space="preserve">https://www.crunchbase.com/organization/nord-security</t>
  </si>
  <si>
    <t xml:space="preserve">Atos / Eviden restructuring (2024–2025 — multiple)</t>
  </si>
  <si>
    <t xml:space="preserve">https://www.reuters.com/business/atos-bds-airbus/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</si>
</sst>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\M"/>
    <numFmt numFmtId="166" formatCode="0.0"/>
    <numFmt numFmtId="167" formatCode="\$#,##0"/>
    <numFmt numFmtId="168" formatCode="0%"/>
    <numFmt numFmtId="169" formatCode="0.0\x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1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C00000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6CC"/>
      </patternFill>
    </fill>
    <fill>
      <patternFill patternType="solid">
        <fgColor rgb="FFD5E8D4"/>
        <bgColor rgb="FFDAE8FC"/>
      </patternFill>
    </fill>
    <fill>
      <patternFill patternType="solid">
        <fgColor rgb="FFDAE8FC"/>
        <bgColor rgb="FFD5E8D4"/>
      </patternFill>
    </fill>
    <fill>
      <patternFill patternType="solid">
        <fgColor rgb="FFFFE6CC"/>
        <bgColor rgb="FFFFF2CC"/>
      </patternFill>
    </fill>
    <fill>
      <patternFill patternType="solid">
        <fgColor rgb="FFF5F5F5"/>
        <bgColor rgb="FFFFFFFF"/>
      </patternFill>
    </fill>
    <fill>
      <patternFill patternType="solid">
        <fgColor rgb="FFE1D5E7"/>
        <bgColor rgb="FFF8CECC"/>
      </patternFill>
    </fill>
    <fill>
      <patternFill patternType="solid">
        <fgColor rgb="FFF8CECC"/>
        <bgColor rgb="FFE1D5E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AE8FC"/>
      <rgbColor rgb="FF660066"/>
      <rgbColor rgb="FFFF8080"/>
      <rgbColor rgb="FF0563C1"/>
      <rgbColor rgb="FFE1D5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5E8D4"/>
      <rgbColor rgb="FFFFE6CC"/>
      <rgbColor rgb="FF99CCFF"/>
      <rgbColor rgb="FFFF99CC"/>
      <rgbColor rgb="FFCC99FF"/>
      <rgbColor rgb="FFF8CE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techcrunch.com/2021/06/25/aws-is-buying-encrypted-messaging-service-wickr/" TargetMode="External"/><Relationship Id="rId2" Type="http://schemas.openxmlformats.org/officeDocument/2006/relationships/hyperlink" Target="https://techcrunch.com/2024/04/09/wordpress-com-owner-automattic-acquires-multi-service-messaging-app-beeper-for-125m/" TargetMode="External"/><Relationship Id="rId3" Type="http://schemas.openxmlformats.org/officeDocument/2006/relationships/hyperlink" Target="https://techcrunch.com/2024/02/09/notion-acquires-privacy-focused-productivity-platform-skiff/" TargetMode="External"/><Relationship Id="rId4" Type="http://schemas.openxmlformats.org/officeDocument/2006/relationships/hyperlink" Target="https://www.vischer.com/en/knowledge/deals-cases/afinum-acquires-threema-38719/" TargetMode="External"/><Relationship Id="rId5" Type="http://schemas.openxmlformats.org/officeDocument/2006/relationships/hyperlink" Target="https://www.privacyguides.org/news/2026/01/16/another-private-equity-firm-acquires-threema/" TargetMode="External"/><Relationship Id="rId6" Type="http://schemas.openxmlformats.org/officeDocument/2006/relationships/hyperlink" Target="https://www.crunchbase.com/organization/symphony-3" TargetMode="External"/><Relationship Id="rId7" Type="http://schemas.openxmlformats.org/officeDocument/2006/relationships/hyperlink" Target="https://www.theregister.com/2026/02/09/matrix_element_secure_chat/" TargetMode="External"/><Relationship Id="rId8" Type="http://schemas.openxmlformats.org/officeDocument/2006/relationships/hyperlink" Target="https://wire.com/en/blog/schwarzgruppe-partnership" TargetMode="External"/><Relationship Id="rId9" Type="http://schemas.openxmlformats.org/officeDocument/2006/relationships/hyperlink" Target="https://schwarz-digits.de/en/presse/archive/2024/focus-on-sovereign-communication-with-wire-schwarz-digits-realigns-digital-service-provider-mmmake" TargetMode="External"/><Relationship Id="rId10" Type="http://schemas.openxmlformats.org/officeDocument/2006/relationships/hyperlink" Target="https://en.wikipedia.org/wiki/Proton_AG" TargetMode="External"/><Relationship Id="rId11" Type="http://schemas.openxmlformats.org/officeDocument/2006/relationships/hyperlink" Target="https://fortune.com/crypto/2025/03/20/telegram-based-blockchain-ton-raises-400-million-from-prominent-crypto-vcs/" TargetMode="External"/><Relationship Id="rId12" Type="http://schemas.openxmlformats.org/officeDocument/2006/relationships/hyperlink" Target="https://en.wikipedia.org/wiki/ToTok" TargetMode="External"/><Relationship Id="rId13" Type="http://schemas.openxmlformats.org/officeDocument/2006/relationships/hyperlink" Target="https://www.blackberry.com/us/en/company/newsroom/press-releases/2014/blackberry-reinforces-mobile-security-leadership-with-acquisition-of-secusmart" TargetMode="External"/><Relationship Id="rId14" Type="http://schemas.openxmlformats.org/officeDocument/2006/relationships/hyperlink" Target="https://techcrunch.com/2014/02/13/japanese-internet-giant-rakuten-acquires-viber-for-900m/" TargetMode="External"/><Relationship Id="rId15" Type="http://schemas.openxmlformats.org/officeDocument/2006/relationships/hyperlink" Target="https://www.dailysabah.com/business/tech/turkish-messaging-app-bips-global-users-near-8m" TargetMode="External"/><Relationship Id="rId16" Type="http://schemas.openxmlformats.org/officeDocument/2006/relationships/hyperlink" Target="https://afridigest.com/africas-super-app-landscape-evolving/" TargetMode="External"/><Relationship Id="rId17" Type="http://schemas.openxmlformats.org/officeDocument/2006/relationships/hyperlink" Target="https://www.crunchbase.com/organization/nord-security" TargetMode="External"/><Relationship Id="rId18" Type="http://schemas.openxmlformats.org/officeDocument/2006/relationships/hyperlink" Target="https://www.reuters.com/business/atos-bds-airbus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60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5"/>
      <c r="D5" s="5"/>
      <c r="E5" s="5"/>
      <c r="F5" s="5"/>
    </row>
    <row r="6" customFormat="false" ht="15" hidden="false" customHeight="false" outlineLevel="0" collapsed="false">
      <c r="A6" s="4" t="s">
        <v>5</v>
      </c>
      <c r="B6" s="5" t="s">
        <v>6</v>
      </c>
      <c r="C6" s="5"/>
      <c r="D6" s="5"/>
      <c r="E6" s="5"/>
      <c r="F6" s="5"/>
    </row>
    <row r="7" customFormat="false" ht="15" hidden="false" customHeight="false" outlineLevel="0" collapsed="false">
      <c r="A7" s="4" t="s">
        <v>7</v>
      </c>
      <c r="B7" s="5" t="s">
        <v>8</v>
      </c>
      <c r="C7" s="5"/>
      <c r="D7" s="5"/>
      <c r="E7" s="5"/>
      <c r="F7" s="5"/>
    </row>
    <row r="8" customFormat="false" ht="15" hidden="false" customHeight="false" outlineLevel="0" collapsed="false">
      <c r="A8" s="4" t="s">
        <v>9</v>
      </c>
      <c r="B8" s="5" t="s">
        <v>10</v>
      </c>
      <c r="C8" s="5"/>
      <c r="D8" s="5"/>
      <c r="E8" s="5"/>
      <c r="F8" s="5"/>
    </row>
    <row r="9" customFormat="false" ht="15" hidden="false" customHeight="false" outlineLevel="0" collapsed="false">
      <c r="A9" s="4" t="s">
        <v>11</v>
      </c>
      <c r="B9" s="5" t="s">
        <v>12</v>
      </c>
      <c r="C9" s="5"/>
      <c r="D9" s="5"/>
      <c r="E9" s="5"/>
      <c r="F9" s="5"/>
    </row>
    <row r="10" customFormat="false" ht="15" hidden="false" customHeight="false" outlineLevel="0" collapsed="false">
      <c r="A10" s="4" t="s">
        <v>13</v>
      </c>
      <c r="B10" s="5" t="s">
        <v>14</v>
      </c>
      <c r="C10" s="5"/>
      <c r="D10" s="5"/>
      <c r="E10" s="5"/>
      <c r="F10" s="5"/>
    </row>
    <row r="11" customFormat="false" ht="15" hidden="false" customHeight="false" outlineLevel="0" collapsed="false">
      <c r="A11" s="4" t="s">
        <v>15</v>
      </c>
      <c r="B11" s="5" t="s">
        <v>16</v>
      </c>
      <c r="C11" s="5"/>
      <c r="D11" s="5"/>
      <c r="E11" s="5"/>
      <c r="F11" s="5"/>
    </row>
    <row r="12" customFormat="false" ht="15" hidden="false" customHeight="false" outlineLevel="0" collapsed="false">
      <c r="A12" s="4" t="s">
        <v>17</v>
      </c>
      <c r="B12" s="5" t="s">
        <v>18</v>
      </c>
      <c r="C12" s="5"/>
      <c r="D12" s="5"/>
      <c r="E12" s="5"/>
      <c r="F12" s="5"/>
    </row>
    <row r="13" customFormat="false" ht="15" hidden="false" customHeight="false" outlineLevel="0" collapsed="false">
      <c r="A13" s="4" t="s">
        <v>19</v>
      </c>
      <c r="B13" s="5" t="s">
        <v>20</v>
      </c>
      <c r="C13" s="5"/>
      <c r="D13" s="5"/>
      <c r="E13" s="5"/>
      <c r="F13" s="5"/>
    </row>
    <row r="15" customFormat="false" ht="15" hidden="false" customHeight="false" outlineLevel="0" collapsed="false">
      <c r="A15" s="3" t="s">
        <v>21</v>
      </c>
    </row>
    <row r="16" customFormat="false" ht="35.05" hidden="false" customHeight="false" outlineLevel="0" collapsed="false">
      <c r="A16" s="6" t="s">
        <v>22</v>
      </c>
      <c r="B16" s="6" t="s">
        <v>23</v>
      </c>
      <c r="C16" s="6" t="s">
        <v>24</v>
      </c>
      <c r="D16" s="6" t="s">
        <v>25</v>
      </c>
      <c r="E16" s="6" t="s">
        <v>26</v>
      </c>
    </row>
    <row r="17" customFormat="false" ht="113.4" hidden="false" customHeight="false" outlineLevel="0" collapsed="false">
      <c r="A17" s="7" t="s">
        <v>27</v>
      </c>
      <c r="B17" s="8" t="n">
        <v>8</v>
      </c>
      <c r="C17" s="8" t="n">
        <v>12</v>
      </c>
      <c r="D17" s="8" t="n">
        <v>15</v>
      </c>
      <c r="E17" s="7" t="s">
        <v>28</v>
      </c>
    </row>
    <row r="18" customFormat="false" ht="147" hidden="false" customHeight="false" outlineLevel="0" collapsed="false">
      <c r="A18" s="7" t="s">
        <v>29</v>
      </c>
      <c r="B18" s="8" t="n">
        <v>25</v>
      </c>
      <c r="C18" s="8" t="n">
        <v>40</v>
      </c>
      <c r="D18" s="8" t="n">
        <v>55</v>
      </c>
      <c r="E18" s="7" t="s">
        <v>30</v>
      </c>
    </row>
    <row r="19" customFormat="false" ht="124.6" hidden="false" customHeight="false" outlineLevel="0" collapsed="false">
      <c r="A19" s="7" t="s">
        <v>31</v>
      </c>
      <c r="B19" s="8" t="n">
        <v>50</v>
      </c>
      <c r="C19" s="8" t="n">
        <v>70</v>
      </c>
      <c r="D19" s="8" t="n">
        <v>90</v>
      </c>
      <c r="E19" s="7" t="s">
        <v>32</v>
      </c>
    </row>
    <row r="20" customFormat="false" ht="147" hidden="false" customHeight="false" outlineLevel="0" collapsed="false">
      <c r="A20" s="7" t="s">
        <v>33</v>
      </c>
      <c r="B20" s="8" t="n">
        <v>90</v>
      </c>
      <c r="C20" s="8" t="n">
        <v>130</v>
      </c>
      <c r="D20" s="8" t="n">
        <v>180</v>
      </c>
      <c r="E20" s="7" t="s">
        <v>34</v>
      </c>
    </row>
    <row r="22" customFormat="false" ht="15" hidden="false" customHeight="false" outlineLevel="0" collapsed="false">
      <c r="A22" s="3" t="s">
        <v>35</v>
      </c>
    </row>
    <row r="23" customFormat="false" ht="15" hidden="false" customHeight="false" outlineLevel="0" collapsed="false">
      <c r="A23" s="4" t="s">
        <v>36</v>
      </c>
      <c r="B23" s="9" t="s">
        <v>37</v>
      </c>
    </row>
    <row r="24" customFormat="false" ht="15" hidden="false" customHeight="false" outlineLevel="0" collapsed="false">
      <c r="A24" s="4" t="s">
        <v>38</v>
      </c>
      <c r="B24" s="10" t="s">
        <v>39</v>
      </c>
    </row>
    <row r="26" customFormat="false" ht="15" hidden="false" customHeight="false" outlineLevel="0" collapsed="false">
      <c r="A26" s="3" t="s">
        <v>40</v>
      </c>
    </row>
    <row r="27" customFormat="false" ht="15" hidden="false" customHeight="false" outlineLevel="0" collapsed="false">
      <c r="A27" s="6" t="s">
        <v>41</v>
      </c>
      <c r="B27" s="6" t="s">
        <v>42</v>
      </c>
      <c r="C27" s="6" t="s">
        <v>43</v>
      </c>
      <c r="D27" s="6" t="s">
        <v>44</v>
      </c>
      <c r="E27" s="6" t="s">
        <v>45</v>
      </c>
      <c r="F27" s="6" t="s">
        <v>46</v>
      </c>
    </row>
    <row r="28" customFormat="false" ht="60" hidden="false" customHeight="true" outlineLevel="0" collapsed="false">
      <c r="A28" s="7" t="n">
        <v>1</v>
      </c>
      <c r="B28" s="7" t="s">
        <v>47</v>
      </c>
      <c r="C28" s="7" t="s">
        <v>48</v>
      </c>
      <c r="D28" s="7" t="s">
        <v>49</v>
      </c>
      <c r="E28" s="7" t="s">
        <v>50</v>
      </c>
      <c r="F28" s="7" t="s">
        <v>51</v>
      </c>
    </row>
    <row r="29" customFormat="false" ht="60" hidden="false" customHeight="true" outlineLevel="0" collapsed="false">
      <c r="A29" s="7" t="n">
        <v>2</v>
      </c>
      <c r="B29" s="7" t="s">
        <v>52</v>
      </c>
      <c r="C29" s="7" t="s">
        <v>53</v>
      </c>
      <c r="D29" s="7" t="s">
        <v>54</v>
      </c>
      <c r="E29" s="7" t="s">
        <v>55</v>
      </c>
      <c r="F29" s="7" t="s">
        <v>56</v>
      </c>
    </row>
    <row r="30" customFormat="false" ht="60" hidden="false" customHeight="true" outlineLevel="0" collapsed="false">
      <c r="A30" s="7" t="n">
        <v>3</v>
      </c>
      <c r="B30" s="7" t="s">
        <v>57</v>
      </c>
      <c r="C30" s="7" t="s">
        <v>58</v>
      </c>
      <c r="D30" s="7" t="s">
        <v>59</v>
      </c>
      <c r="E30" s="7" t="s">
        <v>60</v>
      </c>
      <c r="F30" s="7" t="s">
        <v>61</v>
      </c>
    </row>
    <row r="31" customFormat="false" ht="60" hidden="false" customHeight="true" outlineLevel="0" collapsed="false">
      <c r="A31" s="7" t="n">
        <v>4</v>
      </c>
      <c r="B31" s="7" t="s">
        <v>62</v>
      </c>
      <c r="C31" s="7" t="s">
        <v>63</v>
      </c>
      <c r="D31" s="7" t="s">
        <v>64</v>
      </c>
      <c r="E31" s="7" t="s">
        <v>65</v>
      </c>
      <c r="F31" s="7" t="s">
        <v>66</v>
      </c>
    </row>
    <row r="32" customFormat="false" ht="60" hidden="false" customHeight="true" outlineLevel="0" collapsed="false">
      <c r="A32" s="7" t="n">
        <v>5</v>
      </c>
      <c r="B32" s="7" t="s">
        <v>67</v>
      </c>
      <c r="C32" s="7" t="s">
        <v>68</v>
      </c>
      <c r="D32" s="7" t="s">
        <v>69</v>
      </c>
      <c r="E32" s="7" t="s">
        <v>70</v>
      </c>
      <c r="F32" s="7" t="s">
        <v>71</v>
      </c>
    </row>
    <row r="33" customFormat="false" ht="60" hidden="false" customHeight="true" outlineLevel="0" collapsed="false">
      <c r="A33" s="7" t="n">
        <v>6</v>
      </c>
      <c r="B33" s="7" t="s">
        <v>72</v>
      </c>
      <c r="C33" s="7" t="s">
        <v>73</v>
      </c>
      <c r="D33" s="7" t="s">
        <v>74</v>
      </c>
      <c r="E33" s="7" t="s">
        <v>75</v>
      </c>
      <c r="F33" s="7" t="s">
        <v>76</v>
      </c>
    </row>
    <row r="34" customFormat="false" ht="60" hidden="false" customHeight="true" outlineLevel="0" collapsed="false">
      <c r="A34" s="7" t="n">
        <v>7</v>
      </c>
      <c r="B34" s="7" t="s">
        <v>77</v>
      </c>
      <c r="C34" s="7" t="s">
        <v>78</v>
      </c>
      <c r="D34" s="7" t="s">
        <v>79</v>
      </c>
      <c r="E34" s="7" t="s">
        <v>80</v>
      </c>
      <c r="F34" s="7" t="s">
        <v>81</v>
      </c>
    </row>
    <row r="35" customFormat="false" ht="60" hidden="false" customHeight="true" outlineLevel="0" collapsed="false">
      <c r="A35" s="7" t="n">
        <v>8</v>
      </c>
      <c r="B35" s="7" t="s">
        <v>82</v>
      </c>
      <c r="C35" s="7" t="s">
        <v>83</v>
      </c>
      <c r="D35" s="7" t="s">
        <v>84</v>
      </c>
      <c r="E35" s="7" t="s">
        <v>85</v>
      </c>
      <c r="F35" s="7" t="s">
        <v>86</v>
      </c>
    </row>
    <row r="36" customFormat="false" ht="60" hidden="false" customHeight="true" outlineLevel="0" collapsed="false">
      <c r="A36" s="7" t="n">
        <v>9</v>
      </c>
      <c r="B36" s="7" t="s">
        <v>87</v>
      </c>
      <c r="C36" s="7" t="s">
        <v>88</v>
      </c>
      <c r="D36" s="7" t="s">
        <v>89</v>
      </c>
      <c r="E36" s="7" t="s">
        <v>90</v>
      </c>
      <c r="F36" s="7" t="s">
        <v>91</v>
      </c>
    </row>
    <row r="37" customFormat="false" ht="60" hidden="false" customHeight="true" outlineLevel="0" collapsed="false">
      <c r="A37" s="7" t="n">
        <v>10</v>
      </c>
      <c r="B37" s="7" t="s">
        <v>92</v>
      </c>
      <c r="C37" s="7" t="s">
        <v>93</v>
      </c>
      <c r="D37" s="7" t="s">
        <v>94</v>
      </c>
      <c r="E37" s="7" t="s">
        <v>95</v>
      </c>
      <c r="F37" s="7" t="s">
        <v>96</v>
      </c>
    </row>
  </sheetData>
  <mergeCells count="11">
    <mergeCell ref="A1:F1"/>
    <mergeCell ref="A2:F2"/>
    <mergeCell ref="B5:F5"/>
    <mergeCell ref="B6:F6"/>
    <mergeCell ref="B7:F7"/>
    <mergeCell ref="B8:F8"/>
    <mergeCell ref="B9:F9"/>
    <mergeCell ref="B10:F10"/>
    <mergeCell ref="B11:F11"/>
    <mergeCell ref="B12:F12"/>
    <mergeCell ref="B13:F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6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60"/>
    <col collapsed="false" customWidth="true" hidden="false" outlineLevel="0" max="7" min="7" style="0" width="40"/>
    <col collapsed="false" customWidth="true" hidden="false" outlineLevel="0" max="8" min="8" style="0" width="16"/>
    <col collapsed="false" customWidth="true" hidden="false" outlineLevel="0" max="10" min="9" style="0" width="8"/>
    <col collapsed="false" customWidth="true" hidden="false" outlineLevel="0" max="11" min="11" style="0" width="40"/>
  </cols>
  <sheetData>
    <row r="1" customFormat="false" ht="17.35" hidden="false" customHeight="false" outlineLevel="0" collapsed="false">
      <c r="A1" s="1" t="s">
        <v>97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customFormat="false" ht="23.85" hidden="false" customHeight="false" outlineLevel="0" collapsed="false">
      <c r="A3" s="6" t="s">
        <v>41</v>
      </c>
      <c r="B3" s="6" t="s">
        <v>98</v>
      </c>
      <c r="C3" s="6" t="s">
        <v>42</v>
      </c>
      <c r="D3" s="6" t="s">
        <v>99</v>
      </c>
      <c r="E3" s="6" t="s">
        <v>44</v>
      </c>
      <c r="F3" s="6" t="s">
        <v>100</v>
      </c>
      <c r="G3" s="6" t="s">
        <v>101</v>
      </c>
      <c r="H3" s="6" t="s">
        <v>102</v>
      </c>
      <c r="I3" s="6" t="s">
        <v>103</v>
      </c>
      <c r="J3" s="6" t="s">
        <v>104</v>
      </c>
      <c r="K3" s="6" t="s">
        <v>105</v>
      </c>
    </row>
    <row r="4" customFormat="false" ht="60" hidden="false" customHeight="true" outlineLevel="0" collapsed="false">
      <c r="A4" s="7" t="n">
        <v>1</v>
      </c>
      <c r="B4" s="11" t="s">
        <v>106</v>
      </c>
      <c r="C4" s="7" t="s">
        <v>107</v>
      </c>
      <c r="D4" s="7" t="s">
        <v>108</v>
      </c>
      <c r="E4" s="7" t="s">
        <v>49</v>
      </c>
      <c r="F4" s="7" t="s">
        <v>109</v>
      </c>
      <c r="G4" s="7" t="s">
        <v>110</v>
      </c>
      <c r="H4" s="7" t="s">
        <v>51</v>
      </c>
      <c r="I4" s="12" t="n">
        <v>4</v>
      </c>
      <c r="J4" s="12" t="n">
        <v>5</v>
      </c>
      <c r="K4" s="7" t="s">
        <v>111</v>
      </c>
    </row>
    <row r="5" customFormat="false" ht="60" hidden="false" customHeight="true" outlineLevel="0" collapsed="false">
      <c r="A5" s="7" t="n">
        <v>2</v>
      </c>
      <c r="B5" s="11" t="s">
        <v>106</v>
      </c>
      <c r="C5" s="7" t="s">
        <v>112</v>
      </c>
      <c r="D5" s="7" t="s">
        <v>53</v>
      </c>
      <c r="E5" s="7" t="s">
        <v>54</v>
      </c>
      <c r="F5" s="7" t="s">
        <v>113</v>
      </c>
      <c r="G5" s="7" t="s">
        <v>114</v>
      </c>
      <c r="H5" s="7" t="s">
        <v>56</v>
      </c>
      <c r="I5" s="12" t="n">
        <v>4</v>
      </c>
      <c r="J5" s="12" t="n">
        <v>5</v>
      </c>
      <c r="K5" s="7" t="s">
        <v>115</v>
      </c>
    </row>
    <row r="6" customFormat="false" ht="60" hidden="false" customHeight="true" outlineLevel="0" collapsed="false">
      <c r="A6" s="7" t="n">
        <v>3</v>
      </c>
      <c r="B6" s="11" t="s">
        <v>106</v>
      </c>
      <c r="C6" s="7" t="s">
        <v>116</v>
      </c>
      <c r="D6" s="7" t="s">
        <v>58</v>
      </c>
      <c r="E6" s="7" t="s">
        <v>117</v>
      </c>
      <c r="F6" s="7" t="s">
        <v>118</v>
      </c>
      <c r="G6" s="7" t="s">
        <v>119</v>
      </c>
      <c r="H6" s="7" t="s">
        <v>61</v>
      </c>
      <c r="I6" s="12" t="n">
        <v>5</v>
      </c>
      <c r="J6" s="12" t="n">
        <v>5</v>
      </c>
      <c r="K6" s="7" t="s">
        <v>120</v>
      </c>
    </row>
    <row r="7" customFormat="false" ht="60" hidden="false" customHeight="true" outlineLevel="0" collapsed="false">
      <c r="A7" s="7" t="n">
        <v>4</v>
      </c>
      <c r="B7" s="11" t="s">
        <v>106</v>
      </c>
      <c r="C7" s="7" t="s">
        <v>62</v>
      </c>
      <c r="D7" s="7" t="s">
        <v>121</v>
      </c>
      <c r="E7" s="7" t="s">
        <v>64</v>
      </c>
      <c r="F7" s="7" t="s">
        <v>122</v>
      </c>
      <c r="G7" s="7" t="s">
        <v>123</v>
      </c>
      <c r="H7" s="7" t="s">
        <v>66</v>
      </c>
      <c r="I7" s="12" t="n">
        <v>4</v>
      </c>
      <c r="J7" s="12" t="n">
        <v>4</v>
      </c>
      <c r="K7" s="7" t="s">
        <v>124</v>
      </c>
    </row>
    <row r="8" customFormat="false" ht="60" hidden="false" customHeight="true" outlineLevel="0" collapsed="false">
      <c r="A8" s="7" t="n">
        <v>5</v>
      </c>
      <c r="B8" s="13" t="s">
        <v>125</v>
      </c>
      <c r="C8" s="7" t="s">
        <v>126</v>
      </c>
      <c r="D8" s="7" t="s">
        <v>127</v>
      </c>
      <c r="E8" s="7" t="s">
        <v>128</v>
      </c>
      <c r="F8" s="7" t="s">
        <v>129</v>
      </c>
      <c r="G8" s="7" t="s">
        <v>130</v>
      </c>
      <c r="H8" s="7" t="s">
        <v>71</v>
      </c>
      <c r="I8" s="12" t="n">
        <v>2</v>
      </c>
      <c r="J8" s="12" t="n">
        <v>4</v>
      </c>
      <c r="K8" s="7" t="s">
        <v>131</v>
      </c>
    </row>
    <row r="9" customFormat="false" ht="60" hidden="false" customHeight="true" outlineLevel="0" collapsed="false">
      <c r="A9" s="7" t="n">
        <v>6</v>
      </c>
      <c r="B9" s="13" t="s">
        <v>125</v>
      </c>
      <c r="C9" s="7" t="s">
        <v>132</v>
      </c>
      <c r="D9" s="7" t="s">
        <v>133</v>
      </c>
      <c r="E9" s="7" t="s">
        <v>69</v>
      </c>
      <c r="F9" s="7" t="s">
        <v>134</v>
      </c>
      <c r="G9" s="7" t="s">
        <v>135</v>
      </c>
      <c r="H9" s="7" t="s">
        <v>76</v>
      </c>
      <c r="I9" s="12" t="n">
        <v>3</v>
      </c>
      <c r="J9" s="12" t="n">
        <v>4</v>
      </c>
      <c r="K9" s="7" t="s">
        <v>136</v>
      </c>
    </row>
    <row r="10" customFormat="false" ht="60" hidden="false" customHeight="true" outlineLevel="0" collapsed="false">
      <c r="A10" s="7" t="n">
        <v>7</v>
      </c>
      <c r="B10" s="13" t="s">
        <v>125</v>
      </c>
      <c r="C10" s="7" t="s">
        <v>137</v>
      </c>
      <c r="D10" s="7" t="s">
        <v>138</v>
      </c>
      <c r="E10" s="7" t="s">
        <v>74</v>
      </c>
      <c r="F10" s="7" t="s">
        <v>139</v>
      </c>
      <c r="G10" s="7" t="s">
        <v>140</v>
      </c>
      <c r="H10" s="7" t="s">
        <v>76</v>
      </c>
      <c r="I10" s="12" t="n">
        <v>2</v>
      </c>
      <c r="J10" s="12" t="n">
        <v>4</v>
      </c>
      <c r="K10" s="7" t="s">
        <v>141</v>
      </c>
    </row>
    <row r="11" customFormat="false" ht="60" hidden="false" customHeight="true" outlineLevel="0" collapsed="false">
      <c r="A11" s="7" t="n">
        <v>8</v>
      </c>
      <c r="B11" s="13" t="s">
        <v>125</v>
      </c>
      <c r="C11" s="7" t="s">
        <v>142</v>
      </c>
      <c r="D11" s="7" t="s">
        <v>78</v>
      </c>
      <c r="E11" s="7" t="s">
        <v>79</v>
      </c>
      <c r="F11" s="7" t="s">
        <v>143</v>
      </c>
      <c r="G11" s="7" t="s">
        <v>144</v>
      </c>
      <c r="H11" s="7" t="s">
        <v>81</v>
      </c>
      <c r="I11" s="12" t="n">
        <v>3</v>
      </c>
      <c r="J11" s="12" t="n">
        <v>3</v>
      </c>
      <c r="K11" s="7" t="s">
        <v>145</v>
      </c>
    </row>
    <row r="12" customFormat="false" ht="60" hidden="false" customHeight="true" outlineLevel="0" collapsed="false">
      <c r="A12" s="7" t="n">
        <v>9</v>
      </c>
      <c r="B12" s="13" t="s">
        <v>125</v>
      </c>
      <c r="C12" s="7" t="s">
        <v>146</v>
      </c>
      <c r="D12" s="7" t="s">
        <v>78</v>
      </c>
      <c r="E12" s="7" t="s">
        <v>147</v>
      </c>
      <c r="F12" s="7" t="s">
        <v>148</v>
      </c>
      <c r="G12" s="7" t="s">
        <v>149</v>
      </c>
      <c r="H12" s="7" t="s">
        <v>150</v>
      </c>
      <c r="I12" s="12" t="n">
        <v>2</v>
      </c>
      <c r="J12" s="12" t="n">
        <v>3</v>
      </c>
      <c r="K12" s="7" t="s">
        <v>151</v>
      </c>
    </row>
    <row r="13" customFormat="false" ht="60" hidden="false" customHeight="true" outlineLevel="0" collapsed="false">
      <c r="A13" s="7" t="n">
        <v>10</v>
      </c>
      <c r="B13" s="13" t="s">
        <v>125</v>
      </c>
      <c r="C13" s="7" t="s">
        <v>152</v>
      </c>
      <c r="D13" s="7" t="s">
        <v>153</v>
      </c>
      <c r="E13" s="7" t="s">
        <v>154</v>
      </c>
      <c r="F13" s="7" t="s">
        <v>155</v>
      </c>
      <c r="G13" s="7" t="s">
        <v>156</v>
      </c>
      <c r="H13" s="7" t="s">
        <v>56</v>
      </c>
      <c r="I13" s="12" t="n">
        <v>2</v>
      </c>
      <c r="J13" s="12" t="n">
        <v>3</v>
      </c>
      <c r="K13" s="7" t="s">
        <v>157</v>
      </c>
    </row>
    <row r="14" customFormat="false" ht="60" hidden="false" customHeight="true" outlineLevel="0" collapsed="false">
      <c r="A14" s="7" t="n">
        <v>11</v>
      </c>
      <c r="B14" s="13" t="s">
        <v>125</v>
      </c>
      <c r="C14" s="7" t="s">
        <v>158</v>
      </c>
      <c r="D14" s="7" t="s">
        <v>159</v>
      </c>
      <c r="E14" s="7" t="s">
        <v>160</v>
      </c>
      <c r="F14" s="7" t="s">
        <v>161</v>
      </c>
      <c r="G14" s="7" t="s">
        <v>162</v>
      </c>
      <c r="H14" s="7" t="s">
        <v>163</v>
      </c>
      <c r="I14" s="12" t="n">
        <v>2</v>
      </c>
      <c r="J14" s="12" t="n">
        <v>2</v>
      </c>
      <c r="K14" s="7" t="s">
        <v>164</v>
      </c>
    </row>
    <row r="15" customFormat="false" ht="60" hidden="false" customHeight="true" outlineLevel="0" collapsed="false">
      <c r="A15" s="7" t="n">
        <v>12</v>
      </c>
      <c r="B15" s="13" t="s">
        <v>125</v>
      </c>
      <c r="C15" s="7" t="s">
        <v>165</v>
      </c>
      <c r="D15" s="7" t="s">
        <v>93</v>
      </c>
      <c r="E15" s="7" t="s">
        <v>166</v>
      </c>
      <c r="F15" s="7" t="s">
        <v>167</v>
      </c>
      <c r="G15" s="7" t="s">
        <v>168</v>
      </c>
      <c r="H15" s="7" t="s">
        <v>96</v>
      </c>
      <c r="I15" s="12" t="n">
        <v>4</v>
      </c>
      <c r="J15" s="12" t="n">
        <v>3</v>
      </c>
      <c r="K15" s="7" t="s">
        <v>169</v>
      </c>
    </row>
    <row r="16" customFormat="false" ht="60" hidden="false" customHeight="true" outlineLevel="0" collapsed="false">
      <c r="A16" s="7" t="n">
        <v>13</v>
      </c>
      <c r="B16" s="13" t="s">
        <v>125</v>
      </c>
      <c r="C16" s="7" t="s">
        <v>170</v>
      </c>
      <c r="D16" s="7" t="s">
        <v>171</v>
      </c>
      <c r="E16" s="7" t="s">
        <v>172</v>
      </c>
      <c r="F16" s="7" t="s">
        <v>173</v>
      </c>
      <c r="G16" s="7" t="s">
        <v>174</v>
      </c>
      <c r="H16" s="7" t="s">
        <v>61</v>
      </c>
      <c r="I16" s="12" t="n">
        <v>2</v>
      </c>
      <c r="J16" s="12" t="n">
        <v>3</v>
      </c>
      <c r="K16" s="7" t="s">
        <v>175</v>
      </c>
    </row>
    <row r="17" customFormat="false" ht="60" hidden="false" customHeight="true" outlineLevel="0" collapsed="false">
      <c r="A17" s="7" t="n">
        <v>14</v>
      </c>
      <c r="B17" s="13" t="s">
        <v>125</v>
      </c>
      <c r="C17" s="7" t="s">
        <v>176</v>
      </c>
      <c r="D17" s="7" t="s">
        <v>177</v>
      </c>
      <c r="E17" s="7" t="s">
        <v>178</v>
      </c>
      <c r="F17" s="7" t="s">
        <v>179</v>
      </c>
      <c r="G17" s="7" t="s">
        <v>180</v>
      </c>
      <c r="H17" s="7" t="s">
        <v>81</v>
      </c>
      <c r="I17" s="12" t="n">
        <v>2</v>
      </c>
      <c r="J17" s="12" t="n">
        <v>3</v>
      </c>
      <c r="K17" s="7" t="s">
        <v>181</v>
      </c>
    </row>
    <row r="18" customFormat="false" ht="60" hidden="false" customHeight="true" outlineLevel="0" collapsed="false">
      <c r="A18" s="7" t="n">
        <v>15</v>
      </c>
      <c r="B18" s="13" t="s">
        <v>125</v>
      </c>
      <c r="C18" s="7" t="s">
        <v>182</v>
      </c>
      <c r="D18" s="7" t="s">
        <v>183</v>
      </c>
      <c r="E18" s="7" t="s">
        <v>184</v>
      </c>
      <c r="F18" s="7" t="s">
        <v>185</v>
      </c>
      <c r="G18" s="7" t="s">
        <v>186</v>
      </c>
      <c r="H18" s="7" t="s">
        <v>163</v>
      </c>
      <c r="I18" s="12" t="n">
        <v>2</v>
      </c>
      <c r="J18" s="12" t="n">
        <v>2</v>
      </c>
      <c r="K18" s="7" t="s">
        <v>187</v>
      </c>
    </row>
    <row r="19" customFormat="false" ht="60" hidden="false" customHeight="true" outlineLevel="0" collapsed="false">
      <c r="A19" s="7" t="n">
        <v>16</v>
      </c>
      <c r="B19" s="13" t="s">
        <v>125</v>
      </c>
      <c r="C19" s="7" t="s">
        <v>188</v>
      </c>
      <c r="D19" s="7" t="s">
        <v>189</v>
      </c>
      <c r="E19" s="7" t="s">
        <v>190</v>
      </c>
      <c r="F19" s="7" t="s">
        <v>191</v>
      </c>
      <c r="G19" s="7" t="s">
        <v>192</v>
      </c>
      <c r="H19" s="7" t="s">
        <v>193</v>
      </c>
      <c r="I19" s="12" t="n">
        <v>2</v>
      </c>
      <c r="J19" s="12" t="n">
        <v>3</v>
      </c>
      <c r="K19" s="7" t="s">
        <v>194</v>
      </c>
    </row>
    <row r="20" customFormat="false" ht="60" hidden="false" customHeight="true" outlineLevel="0" collapsed="false">
      <c r="A20" s="7" t="n">
        <v>17</v>
      </c>
      <c r="B20" s="13" t="s">
        <v>125</v>
      </c>
      <c r="C20" s="7" t="s">
        <v>195</v>
      </c>
      <c r="D20" s="7" t="s">
        <v>196</v>
      </c>
      <c r="E20" s="7" t="s">
        <v>197</v>
      </c>
      <c r="F20" s="7" t="s">
        <v>198</v>
      </c>
      <c r="G20" s="7" t="s">
        <v>199</v>
      </c>
      <c r="H20" s="7" t="s">
        <v>96</v>
      </c>
      <c r="I20" s="12" t="n">
        <v>3</v>
      </c>
      <c r="J20" s="12" t="n">
        <v>3</v>
      </c>
      <c r="K20" s="7" t="s">
        <v>200</v>
      </c>
    </row>
    <row r="21" customFormat="false" ht="60" hidden="false" customHeight="true" outlineLevel="0" collapsed="false">
      <c r="A21" s="7" t="n">
        <v>18</v>
      </c>
      <c r="B21" s="13" t="s">
        <v>125</v>
      </c>
      <c r="C21" s="7" t="s">
        <v>201</v>
      </c>
      <c r="D21" s="7" t="s">
        <v>177</v>
      </c>
      <c r="E21" s="7" t="s">
        <v>202</v>
      </c>
      <c r="F21" s="7" t="s">
        <v>203</v>
      </c>
      <c r="G21" s="7" t="s">
        <v>204</v>
      </c>
      <c r="H21" s="7" t="s">
        <v>81</v>
      </c>
      <c r="I21" s="12" t="n">
        <v>2</v>
      </c>
      <c r="J21" s="12" t="n">
        <v>3</v>
      </c>
      <c r="K21" s="7" t="s">
        <v>205</v>
      </c>
    </row>
    <row r="22" customFormat="false" ht="60" hidden="false" customHeight="true" outlineLevel="0" collapsed="false">
      <c r="A22" s="7" t="n">
        <v>19</v>
      </c>
      <c r="B22" s="13" t="s">
        <v>125</v>
      </c>
      <c r="C22" s="7" t="s">
        <v>206</v>
      </c>
      <c r="D22" s="7" t="s">
        <v>207</v>
      </c>
      <c r="E22" s="7" t="s">
        <v>208</v>
      </c>
      <c r="F22" s="7" t="s">
        <v>209</v>
      </c>
      <c r="G22" s="7" t="s">
        <v>210</v>
      </c>
      <c r="H22" s="7" t="s">
        <v>61</v>
      </c>
      <c r="I22" s="12" t="n">
        <v>1</v>
      </c>
      <c r="J22" s="12" t="n">
        <v>2</v>
      </c>
      <c r="K22" s="7" t="s">
        <v>211</v>
      </c>
    </row>
    <row r="23" customFormat="false" ht="60" hidden="false" customHeight="true" outlineLevel="0" collapsed="false">
      <c r="A23" s="7" t="n">
        <v>20</v>
      </c>
      <c r="B23" s="14" t="s">
        <v>212</v>
      </c>
      <c r="C23" s="7" t="s">
        <v>213</v>
      </c>
      <c r="D23" s="7" t="s">
        <v>88</v>
      </c>
      <c r="E23" s="7" t="s">
        <v>214</v>
      </c>
      <c r="F23" s="7" t="s">
        <v>215</v>
      </c>
      <c r="G23" s="7" t="s">
        <v>216</v>
      </c>
      <c r="H23" s="7" t="s">
        <v>91</v>
      </c>
      <c r="I23" s="12" t="n">
        <v>4</v>
      </c>
      <c r="J23" s="12" t="n">
        <v>4</v>
      </c>
      <c r="K23" s="7" t="s">
        <v>217</v>
      </c>
    </row>
    <row r="24" customFormat="false" ht="60" hidden="false" customHeight="true" outlineLevel="0" collapsed="false">
      <c r="A24" s="7" t="n">
        <v>21</v>
      </c>
      <c r="B24" s="14" t="s">
        <v>212</v>
      </c>
      <c r="C24" s="7" t="s">
        <v>218</v>
      </c>
      <c r="D24" s="7" t="s">
        <v>219</v>
      </c>
      <c r="E24" s="7" t="s">
        <v>220</v>
      </c>
      <c r="F24" s="7" t="s">
        <v>221</v>
      </c>
      <c r="G24" s="7" t="s">
        <v>222</v>
      </c>
      <c r="H24" s="7" t="s">
        <v>56</v>
      </c>
      <c r="I24" s="12" t="n">
        <v>3</v>
      </c>
      <c r="J24" s="12" t="n">
        <v>3</v>
      </c>
      <c r="K24" s="7" t="s">
        <v>223</v>
      </c>
    </row>
    <row r="25" customFormat="false" ht="60" hidden="false" customHeight="true" outlineLevel="0" collapsed="false">
      <c r="A25" s="7" t="n">
        <v>22</v>
      </c>
      <c r="B25" s="14" t="s">
        <v>212</v>
      </c>
      <c r="C25" s="7" t="s">
        <v>224</v>
      </c>
      <c r="D25" s="7" t="s">
        <v>225</v>
      </c>
      <c r="E25" s="7" t="s">
        <v>226</v>
      </c>
      <c r="F25" s="7" t="s">
        <v>227</v>
      </c>
      <c r="G25" s="7" t="s">
        <v>228</v>
      </c>
      <c r="H25" s="7" t="s">
        <v>61</v>
      </c>
      <c r="I25" s="12" t="n">
        <v>2</v>
      </c>
      <c r="J25" s="12" t="n">
        <v>3</v>
      </c>
      <c r="K25" s="7" t="s">
        <v>229</v>
      </c>
    </row>
    <row r="26" customFormat="false" ht="60" hidden="false" customHeight="true" outlineLevel="0" collapsed="false">
      <c r="A26" s="7" t="n">
        <v>23</v>
      </c>
      <c r="B26" s="14" t="s">
        <v>212</v>
      </c>
      <c r="C26" s="7" t="s">
        <v>230</v>
      </c>
      <c r="D26" s="7" t="s">
        <v>225</v>
      </c>
      <c r="E26" s="7" t="s">
        <v>64</v>
      </c>
      <c r="F26" s="7" t="s">
        <v>231</v>
      </c>
      <c r="G26" s="7" t="s">
        <v>232</v>
      </c>
      <c r="H26" s="7" t="s">
        <v>163</v>
      </c>
      <c r="I26" s="12" t="n">
        <v>3</v>
      </c>
      <c r="J26" s="12" t="n">
        <v>2</v>
      </c>
      <c r="K26" s="7" t="s">
        <v>233</v>
      </c>
    </row>
    <row r="27" customFormat="false" ht="60" hidden="false" customHeight="true" outlineLevel="0" collapsed="false">
      <c r="A27" s="7" t="n">
        <v>24</v>
      </c>
      <c r="B27" s="14" t="s">
        <v>212</v>
      </c>
      <c r="C27" s="7" t="s">
        <v>234</v>
      </c>
      <c r="D27" s="7" t="s">
        <v>225</v>
      </c>
      <c r="E27" s="7" t="s">
        <v>64</v>
      </c>
      <c r="F27" s="7" t="s">
        <v>235</v>
      </c>
      <c r="G27" s="7" t="s">
        <v>236</v>
      </c>
      <c r="H27" s="7" t="s">
        <v>237</v>
      </c>
      <c r="I27" s="12" t="n">
        <v>3</v>
      </c>
      <c r="J27" s="12" t="n">
        <v>2</v>
      </c>
      <c r="K27" s="7" t="s">
        <v>238</v>
      </c>
    </row>
    <row r="28" customFormat="false" ht="60" hidden="false" customHeight="true" outlineLevel="0" collapsed="false">
      <c r="A28" s="7" t="n">
        <v>25</v>
      </c>
      <c r="B28" s="14" t="s">
        <v>212</v>
      </c>
      <c r="C28" s="7" t="s">
        <v>239</v>
      </c>
      <c r="D28" s="7" t="s">
        <v>240</v>
      </c>
      <c r="E28" s="7" t="s">
        <v>89</v>
      </c>
      <c r="F28" s="7" t="s">
        <v>241</v>
      </c>
      <c r="G28" s="7" t="s">
        <v>242</v>
      </c>
      <c r="H28" s="7" t="s">
        <v>243</v>
      </c>
      <c r="I28" s="12" t="n">
        <v>3</v>
      </c>
      <c r="J28" s="12" t="n">
        <v>2</v>
      </c>
      <c r="K28" s="7" t="s">
        <v>244</v>
      </c>
    </row>
    <row r="29" customFormat="false" ht="60" hidden="false" customHeight="true" outlineLevel="0" collapsed="false">
      <c r="A29" s="7" t="n">
        <v>26</v>
      </c>
      <c r="B29" s="14" t="s">
        <v>212</v>
      </c>
      <c r="C29" s="7" t="s">
        <v>245</v>
      </c>
      <c r="D29" s="7" t="s">
        <v>225</v>
      </c>
      <c r="E29" s="7" t="s">
        <v>64</v>
      </c>
      <c r="F29" s="7" t="s">
        <v>246</v>
      </c>
      <c r="G29" s="7" t="s">
        <v>247</v>
      </c>
      <c r="H29" s="7" t="s">
        <v>248</v>
      </c>
      <c r="I29" s="12" t="n">
        <v>2</v>
      </c>
      <c r="J29" s="12" t="n">
        <v>1</v>
      </c>
      <c r="K29" s="7" t="s">
        <v>249</v>
      </c>
    </row>
    <row r="30" customFormat="false" ht="60" hidden="false" customHeight="true" outlineLevel="0" collapsed="false">
      <c r="A30" s="7" t="n">
        <v>27</v>
      </c>
      <c r="B30" s="14" t="s">
        <v>212</v>
      </c>
      <c r="C30" s="7" t="s">
        <v>250</v>
      </c>
      <c r="D30" s="7" t="s">
        <v>251</v>
      </c>
      <c r="E30" s="7" t="s">
        <v>64</v>
      </c>
      <c r="F30" s="7" t="s">
        <v>252</v>
      </c>
      <c r="G30" s="7" t="s">
        <v>253</v>
      </c>
      <c r="H30" s="7" t="s">
        <v>150</v>
      </c>
      <c r="I30" s="12" t="n">
        <v>3</v>
      </c>
      <c r="J30" s="12" t="n">
        <v>3</v>
      </c>
      <c r="K30" s="7" t="s">
        <v>254</v>
      </c>
    </row>
    <row r="31" customFormat="false" ht="60" hidden="false" customHeight="true" outlineLevel="0" collapsed="false">
      <c r="A31" s="7" t="n">
        <v>28</v>
      </c>
      <c r="B31" s="15" t="s">
        <v>255</v>
      </c>
      <c r="C31" s="7" t="s">
        <v>256</v>
      </c>
      <c r="D31" s="7" t="s">
        <v>257</v>
      </c>
      <c r="E31" s="7" t="s">
        <v>258</v>
      </c>
      <c r="F31" s="7" t="s">
        <v>259</v>
      </c>
      <c r="G31" s="7" t="s">
        <v>260</v>
      </c>
      <c r="H31" s="7" t="s">
        <v>86</v>
      </c>
      <c r="I31" s="12" t="n">
        <v>4</v>
      </c>
      <c r="J31" s="12" t="n">
        <v>4</v>
      </c>
      <c r="K31" s="7" t="s">
        <v>261</v>
      </c>
    </row>
    <row r="32" customFormat="false" ht="60" hidden="false" customHeight="true" outlineLevel="0" collapsed="false">
      <c r="A32" s="7" t="n">
        <v>29</v>
      </c>
      <c r="B32" s="15" t="s">
        <v>255</v>
      </c>
      <c r="C32" s="7" t="s">
        <v>262</v>
      </c>
      <c r="D32" s="7" t="s">
        <v>263</v>
      </c>
      <c r="E32" s="7" t="s">
        <v>264</v>
      </c>
      <c r="F32" s="7" t="s">
        <v>265</v>
      </c>
      <c r="G32" s="7" t="s">
        <v>266</v>
      </c>
      <c r="H32" s="7" t="s">
        <v>163</v>
      </c>
      <c r="I32" s="12" t="n">
        <v>3</v>
      </c>
      <c r="J32" s="12" t="n">
        <v>3</v>
      </c>
      <c r="K32" s="7" t="s">
        <v>267</v>
      </c>
    </row>
    <row r="33" customFormat="false" ht="60" hidden="false" customHeight="true" outlineLevel="0" collapsed="false">
      <c r="A33" s="7" t="n">
        <v>30</v>
      </c>
      <c r="B33" s="15" t="s">
        <v>255</v>
      </c>
      <c r="C33" s="7" t="s">
        <v>268</v>
      </c>
      <c r="D33" s="7" t="s">
        <v>269</v>
      </c>
      <c r="E33" s="7" t="s">
        <v>270</v>
      </c>
      <c r="F33" s="7" t="s">
        <v>271</v>
      </c>
      <c r="G33" s="7" t="s">
        <v>272</v>
      </c>
      <c r="H33" s="7" t="s">
        <v>273</v>
      </c>
      <c r="I33" s="12" t="n">
        <v>2</v>
      </c>
      <c r="J33" s="12" t="n">
        <v>1</v>
      </c>
      <c r="K33" s="7" t="s">
        <v>274</v>
      </c>
    </row>
    <row r="34" customFormat="false" ht="60" hidden="false" customHeight="true" outlineLevel="0" collapsed="false">
      <c r="A34" s="7" t="n">
        <v>31</v>
      </c>
      <c r="B34" s="15" t="s">
        <v>255</v>
      </c>
      <c r="C34" s="7" t="s">
        <v>275</v>
      </c>
      <c r="D34" s="7" t="s">
        <v>276</v>
      </c>
      <c r="E34" s="7" t="s">
        <v>277</v>
      </c>
      <c r="F34" s="7" t="s">
        <v>278</v>
      </c>
      <c r="G34" s="7" t="s">
        <v>279</v>
      </c>
      <c r="H34" s="7" t="s">
        <v>248</v>
      </c>
      <c r="I34" s="12" t="n">
        <v>2</v>
      </c>
      <c r="J34" s="12" t="n">
        <v>2</v>
      </c>
      <c r="K34" s="7" t="s">
        <v>280</v>
      </c>
    </row>
    <row r="35" customFormat="false" ht="60" hidden="false" customHeight="true" outlineLevel="0" collapsed="false">
      <c r="A35" s="7" t="n">
        <v>32</v>
      </c>
      <c r="B35" s="15" t="s">
        <v>255</v>
      </c>
      <c r="C35" s="7" t="s">
        <v>281</v>
      </c>
      <c r="D35" s="7" t="s">
        <v>83</v>
      </c>
      <c r="E35" s="7" t="s">
        <v>64</v>
      </c>
      <c r="F35" s="7" t="s">
        <v>282</v>
      </c>
      <c r="G35" s="7" t="s">
        <v>283</v>
      </c>
      <c r="H35" s="7" t="s">
        <v>163</v>
      </c>
      <c r="I35" s="12" t="n">
        <v>2</v>
      </c>
      <c r="J35" s="12" t="n">
        <v>2</v>
      </c>
      <c r="K35" s="7" t="s">
        <v>284</v>
      </c>
    </row>
    <row r="36" customFormat="false" ht="60" hidden="false" customHeight="true" outlineLevel="0" collapsed="false">
      <c r="A36" s="7" t="n">
        <v>33</v>
      </c>
      <c r="B36" s="15" t="s">
        <v>255</v>
      </c>
      <c r="C36" s="7" t="s">
        <v>285</v>
      </c>
      <c r="D36" s="7" t="s">
        <v>286</v>
      </c>
      <c r="E36" s="7" t="s">
        <v>64</v>
      </c>
      <c r="F36" s="7" t="s">
        <v>287</v>
      </c>
      <c r="G36" s="7" t="s">
        <v>288</v>
      </c>
      <c r="H36" s="7" t="s">
        <v>237</v>
      </c>
      <c r="I36" s="12" t="n">
        <v>3</v>
      </c>
      <c r="J36" s="12" t="n">
        <v>2</v>
      </c>
      <c r="K36" s="7" t="s">
        <v>289</v>
      </c>
    </row>
    <row r="37" customFormat="false" ht="60" hidden="false" customHeight="true" outlineLevel="0" collapsed="false">
      <c r="A37" s="7" t="n">
        <v>34</v>
      </c>
      <c r="B37" s="16" t="s">
        <v>290</v>
      </c>
      <c r="C37" s="7" t="s">
        <v>291</v>
      </c>
      <c r="D37" s="7" t="s">
        <v>292</v>
      </c>
      <c r="E37" s="7" t="s">
        <v>293</v>
      </c>
      <c r="F37" s="7" t="s">
        <v>294</v>
      </c>
      <c r="G37" s="7" t="s">
        <v>295</v>
      </c>
      <c r="H37" s="7" t="s">
        <v>150</v>
      </c>
      <c r="I37" s="12" t="n">
        <v>3</v>
      </c>
      <c r="J37" s="12" t="n">
        <v>3</v>
      </c>
      <c r="K37" s="7" t="s">
        <v>296</v>
      </c>
    </row>
    <row r="38" customFormat="false" ht="60" hidden="false" customHeight="true" outlineLevel="0" collapsed="false">
      <c r="A38" s="7" t="n">
        <v>35</v>
      </c>
      <c r="B38" s="16" t="s">
        <v>290</v>
      </c>
      <c r="C38" s="7" t="s">
        <v>297</v>
      </c>
      <c r="D38" s="7" t="s">
        <v>298</v>
      </c>
      <c r="E38" s="7" t="s">
        <v>54</v>
      </c>
      <c r="F38" s="7" t="s">
        <v>299</v>
      </c>
      <c r="G38" s="7" t="s">
        <v>300</v>
      </c>
      <c r="H38" s="7" t="s">
        <v>301</v>
      </c>
      <c r="I38" s="12" t="n">
        <v>2</v>
      </c>
      <c r="J38" s="12" t="n">
        <v>2</v>
      </c>
      <c r="K38" s="7" t="s">
        <v>302</v>
      </c>
    </row>
    <row r="39" customFormat="false" ht="60" hidden="false" customHeight="true" outlineLevel="0" collapsed="false">
      <c r="A39" s="7" t="n">
        <v>36</v>
      </c>
      <c r="B39" s="16" t="s">
        <v>290</v>
      </c>
      <c r="C39" s="7" t="s">
        <v>303</v>
      </c>
      <c r="D39" s="7" t="s">
        <v>298</v>
      </c>
      <c r="E39" s="7" t="s">
        <v>304</v>
      </c>
      <c r="F39" s="7" t="s">
        <v>305</v>
      </c>
      <c r="G39" s="7" t="s">
        <v>306</v>
      </c>
      <c r="H39" s="7" t="s">
        <v>307</v>
      </c>
      <c r="I39" s="12" t="n">
        <v>2</v>
      </c>
      <c r="J39" s="12" t="n">
        <v>1</v>
      </c>
      <c r="K39" s="7" t="s">
        <v>308</v>
      </c>
    </row>
    <row r="40" customFormat="false" ht="60" hidden="false" customHeight="true" outlineLevel="0" collapsed="false">
      <c r="A40" s="7" t="n">
        <v>37</v>
      </c>
      <c r="B40" s="16" t="s">
        <v>290</v>
      </c>
      <c r="C40" s="7" t="s">
        <v>309</v>
      </c>
      <c r="D40" s="7" t="s">
        <v>310</v>
      </c>
      <c r="E40" s="7" t="s">
        <v>64</v>
      </c>
      <c r="F40" s="7" t="s">
        <v>311</v>
      </c>
      <c r="G40" s="7" t="s">
        <v>312</v>
      </c>
      <c r="H40" s="7" t="s">
        <v>237</v>
      </c>
      <c r="I40" s="12" t="n">
        <v>2</v>
      </c>
      <c r="J40" s="12" t="n">
        <v>2</v>
      </c>
      <c r="K40" s="7" t="s">
        <v>313</v>
      </c>
    </row>
    <row r="41" customFormat="false" ht="60" hidden="false" customHeight="true" outlineLevel="0" collapsed="false">
      <c r="A41" s="7" t="n">
        <v>38</v>
      </c>
      <c r="B41" s="17" t="s">
        <v>314</v>
      </c>
      <c r="C41" s="7" t="s">
        <v>315</v>
      </c>
      <c r="D41" s="7" t="s">
        <v>316</v>
      </c>
      <c r="E41" s="7" t="s">
        <v>49</v>
      </c>
      <c r="F41" s="7" t="s">
        <v>317</v>
      </c>
      <c r="G41" s="7" t="s">
        <v>318</v>
      </c>
      <c r="H41" s="7" t="s">
        <v>163</v>
      </c>
      <c r="I41" s="12" t="n">
        <v>5</v>
      </c>
      <c r="J41" s="12" t="n">
        <v>4</v>
      </c>
      <c r="K41" s="7" t="s">
        <v>319</v>
      </c>
    </row>
    <row r="42" customFormat="false" ht="60" hidden="false" customHeight="true" outlineLevel="0" collapsed="false">
      <c r="A42" s="7" t="n">
        <v>39</v>
      </c>
      <c r="B42" s="17" t="s">
        <v>314</v>
      </c>
      <c r="C42" s="7" t="s">
        <v>320</v>
      </c>
      <c r="D42" s="7" t="s">
        <v>321</v>
      </c>
      <c r="E42" s="7" t="s">
        <v>197</v>
      </c>
      <c r="F42" s="7" t="s">
        <v>322</v>
      </c>
      <c r="G42" s="7" t="s">
        <v>323</v>
      </c>
      <c r="H42" s="7" t="s">
        <v>301</v>
      </c>
      <c r="I42" s="12" t="n">
        <v>4</v>
      </c>
      <c r="J42" s="12" t="n">
        <v>3</v>
      </c>
      <c r="K42" s="7" t="s">
        <v>324</v>
      </c>
    </row>
    <row r="43" customFormat="false" ht="60" hidden="false" customHeight="true" outlineLevel="0" collapsed="false">
      <c r="A43" s="7" t="n">
        <v>40</v>
      </c>
      <c r="B43" s="17" t="s">
        <v>314</v>
      </c>
      <c r="C43" s="7" t="s">
        <v>325</v>
      </c>
      <c r="D43" s="7" t="s">
        <v>326</v>
      </c>
      <c r="E43" s="7" t="s">
        <v>327</v>
      </c>
      <c r="F43" s="7" t="s">
        <v>328</v>
      </c>
      <c r="G43" s="7" t="s">
        <v>329</v>
      </c>
      <c r="H43" s="7" t="s">
        <v>193</v>
      </c>
      <c r="I43" s="12" t="n">
        <v>3</v>
      </c>
      <c r="J43" s="12" t="n">
        <v>3</v>
      </c>
      <c r="K43" s="7" t="s">
        <v>330</v>
      </c>
    </row>
    <row r="44" customFormat="false" ht="60" hidden="false" customHeight="true" outlineLevel="0" collapsed="false">
      <c r="A44" s="7" t="n">
        <v>41</v>
      </c>
      <c r="B44" s="17" t="s">
        <v>314</v>
      </c>
      <c r="C44" s="7" t="s">
        <v>331</v>
      </c>
      <c r="D44" s="7" t="s">
        <v>332</v>
      </c>
      <c r="E44" s="7" t="s">
        <v>333</v>
      </c>
      <c r="F44" s="7" t="s">
        <v>334</v>
      </c>
      <c r="G44" s="7" t="s">
        <v>335</v>
      </c>
      <c r="H44" s="7" t="s">
        <v>193</v>
      </c>
      <c r="I44" s="12" t="n">
        <v>3</v>
      </c>
      <c r="J44" s="12" t="n">
        <v>3</v>
      </c>
      <c r="K44" s="7" t="s">
        <v>336</v>
      </c>
    </row>
    <row r="45" customFormat="false" ht="60" hidden="false" customHeight="true" outlineLevel="0" collapsed="false">
      <c r="A45" s="7" t="n">
        <v>42</v>
      </c>
      <c r="B45" s="17" t="s">
        <v>314</v>
      </c>
      <c r="C45" s="7" t="s">
        <v>337</v>
      </c>
      <c r="D45" s="7" t="s">
        <v>338</v>
      </c>
      <c r="E45" s="7" t="s">
        <v>64</v>
      </c>
      <c r="F45" s="7" t="s">
        <v>339</v>
      </c>
      <c r="G45" s="7" t="s">
        <v>340</v>
      </c>
      <c r="H45" s="7" t="s">
        <v>150</v>
      </c>
      <c r="I45" s="12" t="n">
        <v>2</v>
      </c>
      <c r="J45" s="12" t="n">
        <v>2</v>
      </c>
      <c r="K45" s="7" t="s">
        <v>341</v>
      </c>
    </row>
    <row r="46" customFormat="false" ht="60" hidden="false" customHeight="true" outlineLevel="0" collapsed="false">
      <c r="A46" s="7" t="n">
        <v>43</v>
      </c>
      <c r="B46" s="17" t="s">
        <v>314</v>
      </c>
      <c r="C46" s="7" t="s">
        <v>342</v>
      </c>
      <c r="D46" s="7" t="s">
        <v>343</v>
      </c>
      <c r="E46" s="7" t="s">
        <v>64</v>
      </c>
      <c r="F46" s="7" t="s">
        <v>344</v>
      </c>
      <c r="G46" s="7" t="s">
        <v>345</v>
      </c>
      <c r="H46" s="7" t="s">
        <v>193</v>
      </c>
      <c r="I46" s="12" t="n">
        <v>2</v>
      </c>
      <c r="J46" s="12" t="n">
        <v>2</v>
      </c>
      <c r="K46" s="7" t="s">
        <v>346</v>
      </c>
    </row>
    <row r="47" customFormat="false" ht="60" hidden="false" customHeight="true" outlineLevel="0" collapsed="false">
      <c r="A47" s="7" t="n">
        <v>44</v>
      </c>
      <c r="B47" s="17" t="s">
        <v>314</v>
      </c>
      <c r="C47" s="7" t="s">
        <v>347</v>
      </c>
      <c r="D47" s="7" t="s">
        <v>348</v>
      </c>
      <c r="E47" s="7" t="s">
        <v>64</v>
      </c>
      <c r="F47" s="7" t="s">
        <v>349</v>
      </c>
      <c r="G47" s="7" t="s">
        <v>350</v>
      </c>
      <c r="H47" s="7" t="s">
        <v>81</v>
      </c>
      <c r="I47" s="12" t="n">
        <v>3</v>
      </c>
      <c r="J47" s="12" t="n">
        <v>2</v>
      </c>
      <c r="K47" s="7" t="s">
        <v>351</v>
      </c>
    </row>
    <row r="48" customFormat="false" ht="60" hidden="false" customHeight="true" outlineLevel="0" collapsed="false">
      <c r="A48" s="7" t="n">
        <v>45</v>
      </c>
      <c r="B48" s="18" t="s">
        <v>352</v>
      </c>
      <c r="C48" s="7" t="s">
        <v>353</v>
      </c>
      <c r="D48" s="7" t="s">
        <v>354</v>
      </c>
      <c r="E48" s="7" t="s">
        <v>355</v>
      </c>
      <c r="F48" s="7" t="s">
        <v>356</v>
      </c>
      <c r="G48" s="7" t="s">
        <v>357</v>
      </c>
      <c r="H48" s="7" t="s">
        <v>193</v>
      </c>
      <c r="I48" s="12" t="n">
        <v>3</v>
      </c>
      <c r="J48" s="12" t="n">
        <v>3</v>
      </c>
      <c r="K48" s="7" t="s">
        <v>358</v>
      </c>
    </row>
    <row r="49" customFormat="false" ht="60" hidden="false" customHeight="true" outlineLevel="0" collapsed="false">
      <c r="A49" s="7" t="n">
        <v>46</v>
      </c>
      <c r="B49" s="18" t="s">
        <v>352</v>
      </c>
      <c r="C49" s="7" t="s">
        <v>359</v>
      </c>
      <c r="D49" s="7" t="s">
        <v>360</v>
      </c>
      <c r="E49" s="7" t="s">
        <v>361</v>
      </c>
      <c r="F49" s="7" t="s">
        <v>362</v>
      </c>
      <c r="G49" s="7" t="s">
        <v>363</v>
      </c>
      <c r="H49" s="7" t="s">
        <v>193</v>
      </c>
      <c r="I49" s="12" t="n">
        <v>3</v>
      </c>
      <c r="J49" s="12" t="n">
        <v>2</v>
      </c>
      <c r="K49" s="7" t="s">
        <v>364</v>
      </c>
    </row>
    <row r="50" customFormat="false" ht="60" hidden="false" customHeight="true" outlineLevel="0" collapsed="false">
      <c r="A50" s="7" t="n">
        <v>47</v>
      </c>
      <c r="B50" s="18" t="s">
        <v>352</v>
      </c>
      <c r="C50" s="7" t="s">
        <v>365</v>
      </c>
      <c r="D50" s="7" t="s">
        <v>360</v>
      </c>
      <c r="E50" s="7" t="s">
        <v>366</v>
      </c>
      <c r="F50" s="7" t="s">
        <v>367</v>
      </c>
      <c r="G50" s="7" t="s">
        <v>368</v>
      </c>
      <c r="H50" s="7" t="s">
        <v>369</v>
      </c>
      <c r="I50" s="12" t="n">
        <v>1</v>
      </c>
      <c r="J50" s="12" t="n">
        <v>1</v>
      </c>
      <c r="K50" s="7" t="s">
        <v>370</v>
      </c>
    </row>
    <row r="51" customFormat="false" ht="60" hidden="false" customHeight="true" outlineLevel="0" collapsed="false">
      <c r="A51" s="7" t="n">
        <v>48</v>
      </c>
      <c r="B51" s="18" t="s">
        <v>352</v>
      </c>
      <c r="C51" s="7" t="s">
        <v>371</v>
      </c>
      <c r="D51" s="7" t="s">
        <v>372</v>
      </c>
      <c r="E51" s="7" t="s">
        <v>373</v>
      </c>
      <c r="F51" s="7" t="s">
        <v>374</v>
      </c>
      <c r="G51" s="7" t="s">
        <v>375</v>
      </c>
      <c r="H51" s="7" t="s">
        <v>96</v>
      </c>
      <c r="I51" s="12" t="n">
        <v>2</v>
      </c>
      <c r="J51" s="12" t="n">
        <v>2</v>
      </c>
      <c r="K51" s="7" t="s">
        <v>376</v>
      </c>
    </row>
    <row r="52" customFormat="false" ht="60" hidden="false" customHeight="true" outlineLevel="0" collapsed="false">
      <c r="A52" s="7" t="n">
        <v>49</v>
      </c>
      <c r="B52" s="17" t="s">
        <v>314</v>
      </c>
      <c r="C52" s="7" t="s">
        <v>377</v>
      </c>
      <c r="D52" s="7" t="s">
        <v>378</v>
      </c>
      <c r="E52" s="7" t="s">
        <v>327</v>
      </c>
      <c r="F52" s="7" t="s">
        <v>379</v>
      </c>
      <c r="G52" s="7" t="s">
        <v>380</v>
      </c>
      <c r="H52" s="7" t="s">
        <v>81</v>
      </c>
      <c r="I52" s="12" t="n">
        <v>2</v>
      </c>
      <c r="J52" s="12" t="n">
        <v>2</v>
      </c>
      <c r="K52" s="7" t="s">
        <v>381</v>
      </c>
    </row>
    <row r="53" customFormat="false" ht="60" hidden="false" customHeight="true" outlineLevel="0" collapsed="false">
      <c r="A53" s="7" t="n">
        <v>50</v>
      </c>
      <c r="B53" s="13" t="s">
        <v>125</v>
      </c>
      <c r="C53" s="7" t="s">
        <v>382</v>
      </c>
      <c r="D53" s="7" t="s">
        <v>383</v>
      </c>
      <c r="E53" s="7" t="s">
        <v>384</v>
      </c>
      <c r="F53" s="7" t="s">
        <v>385</v>
      </c>
      <c r="G53" s="7" t="s">
        <v>386</v>
      </c>
      <c r="H53" s="7" t="s">
        <v>96</v>
      </c>
      <c r="I53" s="12" t="n">
        <v>2</v>
      </c>
      <c r="J53" s="12" t="n">
        <v>2</v>
      </c>
      <c r="K53" s="7" t="s">
        <v>387</v>
      </c>
    </row>
    <row r="54" customFormat="false" ht="60" hidden="false" customHeight="true" outlineLevel="0" collapsed="false">
      <c r="A54" s="7" t="n">
        <v>51</v>
      </c>
      <c r="B54" s="13" t="s">
        <v>125</v>
      </c>
      <c r="C54" s="7" t="s">
        <v>388</v>
      </c>
      <c r="D54" s="7" t="s">
        <v>389</v>
      </c>
      <c r="E54" s="7" t="s">
        <v>390</v>
      </c>
      <c r="F54" s="7" t="s">
        <v>391</v>
      </c>
      <c r="G54" s="7" t="s">
        <v>392</v>
      </c>
      <c r="H54" s="7" t="s">
        <v>237</v>
      </c>
      <c r="I54" s="12" t="n">
        <v>2</v>
      </c>
      <c r="J54" s="12" t="n">
        <v>2</v>
      </c>
      <c r="K54" s="7" t="s">
        <v>393</v>
      </c>
    </row>
    <row r="57" customFormat="false" ht="15" hidden="false" customHeight="false" outlineLevel="0" collapsed="false">
      <c r="A57" s="3" t="s">
        <v>394</v>
      </c>
    </row>
    <row r="58" customFormat="false" ht="15" hidden="false" customHeight="false" outlineLevel="0" collapsed="false">
      <c r="A58" s="19" t="s">
        <v>395</v>
      </c>
      <c r="B58" s="5" t="s">
        <v>396</v>
      </c>
      <c r="C58" s="5"/>
      <c r="D58" s="5"/>
      <c r="E58" s="5"/>
      <c r="F58" s="5"/>
      <c r="G58" s="5"/>
      <c r="H58" s="5"/>
      <c r="I58" s="5"/>
      <c r="J58" s="5"/>
      <c r="K58" s="5"/>
    </row>
    <row r="59" customFormat="false" ht="15" hidden="false" customHeight="false" outlineLevel="0" collapsed="false">
      <c r="A59" s="20" t="s">
        <v>397</v>
      </c>
      <c r="B59" s="5" t="s">
        <v>398</v>
      </c>
      <c r="C59" s="5"/>
      <c r="D59" s="5"/>
      <c r="E59" s="5"/>
      <c r="F59" s="5"/>
      <c r="G59" s="5"/>
      <c r="H59" s="5"/>
      <c r="I59" s="5"/>
      <c r="J59" s="5"/>
      <c r="K59" s="5"/>
    </row>
    <row r="60" customFormat="false" ht="15" hidden="false" customHeight="false" outlineLevel="0" collapsed="false">
      <c r="A60" s="21" t="s">
        <v>399</v>
      </c>
      <c r="B60" s="5" t="s">
        <v>400</v>
      </c>
      <c r="C60" s="5"/>
      <c r="D60" s="5"/>
      <c r="E60" s="5"/>
      <c r="F60" s="5"/>
      <c r="G60" s="5"/>
      <c r="H60" s="5"/>
      <c r="I60" s="5"/>
      <c r="J60" s="5"/>
      <c r="K60" s="5"/>
    </row>
    <row r="61" customFormat="false" ht="15" hidden="false" customHeight="false" outlineLevel="0" collapsed="false">
      <c r="A61" s="22" t="s">
        <v>401</v>
      </c>
      <c r="B61" s="5" t="s">
        <v>402</v>
      </c>
      <c r="C61" s="5"/>
      <c r="D61" s="5"/>
      <c r="E61" s="5"/>
      <c r="F61" s="5"/>
      <c r="G61" s="5"/>
      <c r="H61" s="5"/>
      <c r="I61" s="5"/>
      <c r="J61" s="5"/>
      <c r="K61" s="5"/>
    </row>
    <row r="62" customFormat="false" ht="15" hidden="false" customHeight="false" outlineLevel="0" collapsed="false">
      <c r="A62" s="23" t="s">
        <v>403</v>
      </c>
      <c r="B62" s="5" t="s">
        <v>404</v>
      </c>
      <c r="C62" s="5"/>
      <c r="D62" s="5"/>
      <c r="E62" s="5"/>
      <c r="F62" s="5"/>
      <c r="G62" s="5"/>
      <c r="H62" s="5"/>
      <c r="I62" s="5"/>
      <c r="J62" s="5"/>
      <c r="K62" s="5"/>
    </row>
    <row r="63" customFormat="false" ht="15" hidden="false" customHeight="false" outlineLevel="0" collapsed="false">
      <c r="A63" s="24" t="s">
        <v>405</v>
      </c>
      <c r="B63" s="5" t="s">
        <v>406</v>
      </c>
      <c r="C63" s="5"/>
      <c r="D63" s="5"/>
      <c r="E63" s="5"/>
      <c r="F63" s="5"/>
      <c r="G63" s="5"/>
      <c r="H63" s="5"/>
      <c r="I63" s="5"/>
      <c r="J63" s="5"/>
      <c r="K63" s="5"/>
    </row>
    <row r="64" customFormat="false" ht="15" hidden="false" customHeight="false" outlineLevel="0" collapsed="false">
      <c r="A64" s="25" t="s">
        <v>407</v>
      </c>
      <c r="B64" s="5" t="s">
        <v>408</v>
      </c>
      <c r="C64" s="5"/>
      <c r="D64" s="5"/>
      <c r="E64" s="5"/>
      <c r="F64" s="5"/>
      <c r="G64" s="5"/>
      <c r="H64" s="5"/>
      <c r="I64" s="5"/>
      <c r="J64" s="5"/>
      <c r="K64" s="5"/>
    </row>
  </sheetData>
  <mergeCells count="8">
    <mergeCell ref="A1:K1"/>
    <mergeCell ref="B58:K58"/>
    <mergeCell ref="B59:K59"/>
    <mergeCell ref="B60:K60"/>
    <mergeCell ref="B61:K61"/>
    <mergeCell ref="B62:K62"/>
    <mergeCell ref="B63:K63"/>
    <mergeCell ref="B64:K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2"/>
    <col collapsed="false" customWidth="true" hidden="false" outlineLevel="0" max="7" min="6" style="0" width="18"/>
    <col collapsed="false" customWidth="true" hidden="false" outlineLevel="0" max="8" min="8" style="0" width="30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409</v>
      </c>
      <c r="B1" s="1"/>
      <c r="C1" s="1"/>
      <c r="D1" s="1"/>
      <c r="E1" s="1"/>
      <c r="F1" s="1"/>
      <c r="G1" s="1"/>
      <c r="H1" s="1"/>
      <c r="I1" s="1"/>
    </row>
    <row r="3" customFormat="false" ht="15" hidden="false" customHeight="false" outlineLevel="0" collapsed="false">
      <c r="A3" s="6" t="s">
        <v>41</v>
      </c>
      <c r="B3" s="6" t="s">
        <v>410</v>
      </c>
      <c r="C3" s="6" t="s">
        <v>411</v>
      </c>
      <c r="D3" s="6" t="s">
        <v>412</v>
      </c>
      <c r="E3" s="6" t="s">
        <v>413</v>
      </c>
      <c r="F3" s="6" t="s">
        <v>414</v>
      </c>
      <c r="G3" s="6" t="s">
        <v>415</v>
      </c>
      <c r="H3" s="6" t="s">
        <v>416</v>
      </c>
      <c r="I3" s="6" t="s">
        <v>417</v>
      </c>
    </row>
    <row r="4" customFormat="false" ht="49.5" hidden="false" customHeight="true" outlineLevel="0" collapsed="false">
      <c r="A4" s="7" t="n">
        <v>1</v>
      </c>
      <c r="B4" s="7" t="n">
        <v>2014</v>
      </c>
      <c r="C4" s="7" t="s">
        <v>418</v>
      </c>
      <c r="D4" s="7" t="s">
        <v>419</v>
      </c>
      <c r="E4" s="7" t="s">
        <v>420</v>
      </c>
      <c r="F4" s="7" t="s">
        <v>421</v>
      </c>
      <c r="G4" s="7" t="s">
        <v>422</v>
      </c>
      <c r="H4" s="7" t="s">
        <v>423</v>
      </c>
      <c r="I4" s="7" t="s">
        <v>424</v>
      </c>
    </row>
    <row r="5" customFormat="false" ht="49.5" hidden="false" customHeight="true" outlineLevel="0" collapsed="false">
      <c r="A5" s="7" t="n">
        <v>2</v>
      </c>
      <c r="B5" s="7" t="n">
        <v>2014</v>
      </c>
      <c r="C5" s="7" t="s">
        <v>425</v>
      </c>
      <c r="D5" s="7" t="s">
        <v>426</v>
      </c>
      <c r="E5" s="7" t="s">
        <v>427</v>
      </c>
      <c r="F5" s="7" t="s">
        <v>428</v>
      </c>
      <c r="G5" s="7" t="s">
        <v>429</v>
      </c>
      <c r="H5" s="7" t="s">
        <v>430</v>
      </c>
      <c r="I5" s="7" t="s">
        <v>431</v>
      </c>
    </row>
    <row r="6" customFormat="false" ht="49.5" hidden="false" customHeight="true" outlineLevel="0" collapsed="false">
      <c r="A6" s="7" t="n">
        <v>3</v>
      </c>
      <c r="B6" s="7" t="n">
        <v>2014</v>
      </c>
      <c r="C6" s="7" t="s">
        <v>432</v>
      </c>
      <c r="D6" s="7" t="s">
        <v>433</v>
      </c>
      <c r="E6" s="7" t="s">
        <v>434</v>
      </c>
      <c r="F6" s="7" t="s">
        <v>435</v>
      </c>
      <c r="G6" s="7" t="s">
        <v>436</v>
      </c>
      <c r="H6" s="7" t="s">
        <v>437</v>
      </c>
      <c r="I6" s="7" t="s">
        <v>438</v>
      </c>
    </row>
    <row r="7" customFormat="false" ht="49.5" hidden="false" customHeight="true" outlineLevel="0" collapsed="false">
      <c r="A7" s="7" t="n">
        <v>4</v>
      </c>
      <c r="B7" s="7" t="n">
        <v>2021</v>
      </c>
      <c r="C7" s="7" t="s">
        <v>439</v>
      </c>
      <c r="D7" s="7" t="s">
        <v>440</v>
      </c>
      <c r="E7" s="7" t="s">
        <v>441</v>
      </c>
      <c r="F7" s="7" t="s">
        <v>442</v>
      </c>
      <c r="G7" s="7" t="s">
        <v>443</v>
      </c>
      <c r="H7" s="7" t="s">
        <v>444</v>
      </c>
      <c r="I7" s="7" t="s">
        <v>445</v>
      </c>
    </row>
    <row r="8" customFormat="false" ht="49.5" hidden="false" customHeight="true" outlineLevel="0" collapsed="false">
      <c r="A8" s="7" t="n">
        <v>5</v>
      </c>
      <c r="B8" s="7" t="n">
        <v>2020</v>
      </c>
      <c r="C8" s="7" t="s">
        <v>446</v>
      </c>
      <c r="D8" s="7" t="s">
        <v>447</v>
      </c>
      <c r="E8" s="7" t="s">
        <v>448</v>
      </c>
      <c r="F8" s="7" t="s">
        <v>449</v>
      </c>
      <c r="G8" s="7" t="s">
        <v>450</v>
      </c>
      <c r="H8" s="7" t="s">
        <v>451</v>
      </c>
      <c r="I8" s="7" t="s">
        <v>452</v>
      </c>
    </row>
    <row r="9" customFormat="false" ht="49.5" hidden="false" customHeight="true" outlineLevel="0" collapsed="false">
      <c r="A9" s="7" t="n">
        <v>6</v>
      </c>
      <c r="B9" s="7" t="n">
        <v>2024</v>
      </c>
      <c r="C9" s="7" t="s">
        <v>453</v>
      </c>
      <c r="D9" s="7" t="s">
        <v>62</v>
      </c>
      <c r="E9" s="7" t="s">
        <v>454</v>
      </c>
      <c r="F9" s="7" t="s">
        <v>455</v>
      </c>
      <c r="G9" s="7" t="s">
        <v>456</v>
      </c>
      <c r="H9" s="7" t="s">
        <v>457</v>
      </c>
      <c r="I9" s="7" t="s">
        <v>458</v>
      </c>
    </row>
    <row r="10" customFormat="false" ht="49.5" hidden="false" customHeight="true" outlineLevel="0" collapsed="false">
      <c r="A10" s="7" t="n">
        <v>7</v>
      </c>
      <c r="B10" s="7" t="n">
        <v>2024</v>
      </c>
      <c r="C10" s="7" t="s">
        <v>459</v>
      </c>
      <c r="D10" s="7" t="s">
        <v>57</v>
      </c>
      <c r="E10" s="7" t="s">
        <v>460</v>
      </c>
      <c r="F10" s="7" t="s">
        <v>461</v>
      </c>
      <c r="G10" s="7" t="s">
        <v>456</v>
      </c>
      <c r="H10" s="7" t="s">
        <v>462</v>
      </c>
      <c r="I10" s="7" t="s">
        <v>463</v>
      </c>
    </row>
    <row r="11" customFormat="false" ht="49.5" hidden="false" customHeight="true" outlineLevel="0" collapsed="false">
      <c r="A11" s="7" t="n">
        <v>8</v>
      </c>
      <c r="B11" s="7" t="n">
        <v>2023</v>
      </c>
      <c r="C11" s="7" t="s">
        <v>464</v>
      </c>
      <c r="D11" s="7" t="s">
        <v>57</v>
      </c>
      <c r="E11" s="7" t="s">
        <v>465</v>
      </c>
      <c r="F11" s="7" t="s">
        <v>466</v>
      </c>
      <c r="G11" s="7" t="s">
        <v>467</v>
      </c>
      <c r="H11" s="7" t="s">
        <v>468</v>
      </c>
      <c r="I11" s="7" t="s">
        <v>469</v>
      </c>
    </row>
    <row r="12" customFormat="false" ht="49.5" hidden="false" customHeight="true" outlineLevel="0" collapsed="false">
      <c r="A12" s="7" t="n">
        <v>9</v>
      </c>
      <c r="B12" s="7" t="n">
        <v>2014</v>
      </c>
      <c r="C12" s="7" t="s">
        <v>470</v>
      </c>
      <c r="D12" s="7" t="s">
        <v>471</v>
      </c>
      <c r="E12" s="7" t="s">
        <v>472</v>
      </c>
      <c r="F12" s="7" t="s">
        <v>473</v>
      </c>
      <c r="G12" s="7" t="s">
        <v>473</v>
      </c>
      <c r="H12" s="7" t="s">
        <v>474</v>
      </c>
      <c r="I12" s="7" t="s">
        <v>475</v>
      </c>
    </row>
    <row r="13" customFormat="false" ht="49.5" hidden="false" customHeight="true" outlineLevel="0" collapsed="false">
      <c r="A13" s="7" t="n">
        <v>10</v>
      </c>
      <c r="B13" s="7" t="n">
        <v>2026</v>
      </c>
      <c r="C13" s="7" t="s">
        <v>446</v>
      </c>
      <c r="D13" s="7" t="s">
        <v>476</v>
      </c>
      <c r="E13" s="7" t="s">
        <v>477</v>
      </c>
      <c r="F13" s="7" t="s">
        <v>478</v>
      </c>
      <c r="G13" s="7" t="s">
        <v>479</v>
      </c>
      <c r="H13" s="7" t="s">
        <v>480</v>
      </c>
      <c r="I13" s="7" t="s">
        <v>481</v>
      </c>
    </row>
    <row r="14" customFormat="false" ht="49.5" hidden="false" customHeight="true" outlineLevel="0" collapsed="false">
      <c r="A14" s="7" t="n">
        <v>11</v>
      </c>
      <c r="B14" s="7" t="n">
        <v>2024</v>
      </c>
      <c r="C14" s="7" t="s">
        <v>482</v>
      </c>
      <c r="D14" s="7" t="s">
        <v>52</v>
      </c>
      <c r="E14" s="7" t="s">
        <v>483</v>
      </c>
      <c r="F14" s="7" t="s">
        <v>484</v>
      </c>
      <c r="G14" s="7" t="s">
        <v>485</v>
      </c>
      <c r="H14" s="7" t="s">
        <v>486</v>
      </c>
      <c r="I14" s="7" t="s">
        <v>487</v>
      </c>
    </row>
    <row r="15" customFormat="false" ht="49.5" hidden="false" customHeight="true" outlineLevel="0" collapsed="false">
      <c r="A15" s="7" t="n">
        <v>12</v>
      </c>
      <c r="B15" s="7" t="n">
        <v>2022</v>
      </c>
      <c r="C15" s="7" t="s">
        <v>488</v>
      </c>
      <c r="D15" s="7" t="s">
        <v>52</v>
      </c>
      <c r="E15" s="7" t="s">
        <v>489</v>
      </c>
      <c r="F15" s="7" t="s">
        <v>484</v>
      </c>
      <c r="G15" s="7" t="s">
        <v>485</v>
      </c>
      <c r="H15" s="7" t="s">
        <v>490</v>
      </c>
      <c r="I15" s="7" t="s">
        <v>491</v>
      </c>
    </row>
    <row r="16" customFormat="false" ht="49.5" hidden="false" customHeight="true" outlineLevel="0" collapsed="false">
      <c r="A16" s="7" t="n">
        <v>13</v>
      </c>
      <c r="B16" s="7" t="n">
        <v>2019</v>
      </c>
      <c r="C16" s="7" t="s">
        <v>492</v>
      </c>
      <c r="D16" s="7" t="s">
        <v>493</v>
      </c>
      <c r="E16" s="7" t="s">
        <v>494</v>
      </c>
      <c r="F16" s="7" t="s">
        <v>495</v>
      </c>
      <c r="G16" s="7" t="s">
        <v>496</v>
      </c>
      <c r="H16" s="7" t="s">
        <v>497</v>
      </c>
      <c r="I16" s="7" t="s">
        <v>498</v>
      </c>
    </row>
    <row r="18" customFormat="false" ht="15" hidden="false" customHeight="false" outlineLevel="0" collapsed="false">
      <c r="A18" s="3" t="s">
        <v>499</v>
      </c>
    </row>
    <row r="19" customFormat="false" ht="15" hidden="false" customHeight="true" outlineLevel="0" collapsed="false">
      <c r="A19" s="4" t="s">
        <v>500</v>
      </c>
      <c r="B19" s="26" t="s">
        <v>501</v>
      </c>
      <c r="C19" s="26"/>
      <c r="D19" s="26"/>
      <c r="E19" s="26"/>
      <c r="F19" s="26"/>
      <c r="G19" s="26"/>
      <c r="H19" s="26"/>
      <c r="I19" s="26"/>
    </row>
    <row r="20" customFormat="false" ht="15" hidden="false" customHeight="true" outlineLevel="0" collapsed="false">
      <c r="A20" s="4" t="s">
        <v>500</v>
      </c>
      <c r="B20" s="26" t="s">
        <v>502</v>
      </c>
      <c r="C20" s="26"/>
      <c r="D20" s="26"/>
      <c r="E20" s="26"/>
      <c r="F20" s="26"/>
      <c r="G20" s="26"/>
      <c r="H20" s="26"/>
      <c r="I20" s="26"/>
    </row>
    <row r="21" customFormat="false" ht="15" hidden="false" customHeight="true" outlineLevel="0" collapsed="false">
      <c r="A21" s="4" t="s">
        <v>500</v>
      </c>
      <c r="B21" s="26" t="s">
        <v>503</v>
      </c>
      <c r="C21" s="26"/>
      <c r="D21" s="26"/>
      <c r="E21" s="26"/>
      <c r="F21" s="26"/>
      <c r="G21" s="26"/>
      <c r="H21" s="26"/>
      <c r="I21" s="26"/>
    </row>
    <row r="22" customFormat="false" ht="15" hidden="false" customHeight="true" outlineLevel="0" collapsed="false">
      <c r="A22" s="4" t="s">
        <v>500</v>
      </c>
      <c r="B22" s="26" t="s">
        <v>504</v>
      </c>
      <c r="C22" s="26"/>
      <c r="D22" s="26"/>
      <c r="E22" s="26"/>
      <c r="F22" s="26"/>
      <c r="G22" s="26"/>
      <c r="H22" s="26"/>
      <c r="I22" s="26"/>
    </row>
    <row r="23" customFormat="false" ht="15" hidden="false" customHeight="true" outlineLevel="0" collapsed="false">
      <c r="A23" s="4" t="s">
        <v>500</v>
      </c>
      <c r="B23" s="26" t="s">
        <v>505</v>
      </c>
      <c r="C23" s="26"/>
      <c r="D23" s="26"/>
      <c r="E23" s="26"/>
      <c r="F23" s="26"/>
      <c r="G23" s="26"/>
      <c r="H23" s="26"/>
      <c r="I23" s="26"/>
    </row>
  </sheetData>
  <mergeCells count="6">
    <mergeCell ref="A1:I1"/>
    <mergeCell ref="B19:I19"/>
    <mergeCell ref="B20:I20"/>
    <mergeCell ref="B21:I21"/>
    <mergeCell ref="B22:I22"/>
    <mergeCell ref="B23:I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8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506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3" t="s">
        <v>507</v>
      </c>
    </row>
    <row r="4" customFormat="false" ht="15" hidden="false" customHeight="false" outlineLevel="0" collapsed="false">
      <c r="A4" s="6" t="s">
        <v>26</v>
      </c>
      <c r="B4" s="6" t="s">
        <v>508</v>
      </c>
      <c r="C4" s="6" t="s">
        <v>509</v>
      </c>
      <c r="D4" s="6" t="s">
        <v>510</v>
      </c>
    </row>
    <row r="5" customFormat="false" ht="15" hidden="false" customHeight="false" outlineLevel="0" collapsed="false">
      <c r="A5" s="7" t="s">
        <v>511</v>
      </c>
      <c r="B5" s="27" t="n">
        <v>80</v>
      </c>
      <c r="C5" s="7" t="s">
        <v>512</v>
      </c>
      <c r="D5" s="7" t="s">
        <v>513</v>
      </c>
    </row>
    <row r="6" customFormat="false" ht="15" hidden="false" customHeight="false" outlineLevel="0" collapsed="false">
      <c r="A6" s="7" t="s">
        <v>514</v>
      </c>
      <c r="B6" s="27" t="n">
        <v>2.5</v>
      </c>
      <c r="C6" s="7" t="s">
        <v>515</v>
      </c>
      <c r="D6" s="7" t="s">
        <v>516</v>
      </c>
    </row>
    <row r="7" customFormat="false" ht="15" hidden="false" customHeight="false" outlineLevel="0" collapsed="false">
      <c r="A7" s="7" t="s">
        <v>517</v>
      </c>
      <c r="B7" s="28" t="n">
        <v>200000</v>
      </c>
      <c r="C7" s="7" t="s">
        <v>518</v>
      </c>
      <c r="D7" s="7" t="s">
        <v>519</v>
      </c>
    </row>
    <row r="8" customFormat="false" ht="15" hidden="false" customHeight="false" outlineLevel="0" collapsed="false">
      <c r="A8" s="7" t="s">
        <v>520</v>
      </c>
      <c r="B8" s="29" t="n">
        <f aca="false">B5*B6*B7</f>
        <v>40000000</v>
      </c>
      <c r="C8" s="7" t="s">
        <v>518</v>
      </c>
      <c r="D8" s="7" t="s">
        <v>521</v>
      </c>
    </row>
    <row r="9" customFormat="false" ht="15" hidden="false" customHeight="false" outlineLevel="0" collapsed="false">
      <c r="A9" s="7" t="s">
        <v>522</v>
      </c>
      <c r="B9" s="28" t="n">
        <v>8000000</v>
      </c>
      <c r="C9" s="7" t="s">
        <v>518</v>
      </c>
      <c r="D9" s="7" t="s">
        <v>523</v>
      </c>
    </row>
    <row r="10" customFormat="false" ht="15" hidden="false" customHeight="false" outlineLevel="0" collapsed="false">
      <c r="A10" s="7" t="s">
        <v>524</v>
      </c>
      <c r="B10" s="29" t="n">
        <f aca="false">B8+B9</f>
        <v>48000000</v>
      </c>
      <c r="C10" s="7" t="s">
        <v>518</v>
      </c>
      <c r="D10" s="7"/>
    </row>
    <row r="11" customFormat="false" ht="23.85" hidden="false" customHeight="false" outlineLevel="0" collapsed="false">
      <c r="A11" s="7" t="s">
        <v>525</v>
      </c>
      <c r="B11" s="30" t="n">
        <v>0.35</v>
      </c>
      <c r="C11" s="7" t="s">
        <v>526</v>
      </c>
      <c r="D11" s="7" t="s">
        <v>527</v>
      </c>
    </row>
    <row r="12" customFormat="false" ht="15" hidden="false" customHeight="false" outlineLevel="0" collapsed="false">
      <c r="A12" s="7" t="s">
        <v>528</v>
      </c>
      <c r="B12" s="29" t="n">
        <f aca="false">B10*(1+B11)</f>
        <v>64800000</v>
      </c>
      <c r="C12" s="7" t="s">
        <v>518</v>
      </c>
      <c r="D12" s="7" t="e">
        <f aca="false">method 1 indicative value</f>
        <v>#VALUE!</v>
      </c>
    </row>
    <row r="14" customFormat="false" ht="15" hidden="false" customHeight="false" outlineLevel="0" collapsed="false">
      <c r="A14" s="4" t="s">
        <v>529</v>
      </c>
      <c r="B14" s="31" t="n">
        <f aca="false">B12*0.75</f>
        <v>48600000</v>
      </c>
      <c r="C14" s="32" t="s">
        <v>530</v>
      </c>
      <c r="D14" s="31" t="n">
        <f aca="false">B12*1.25</f>
        <v>81000000</v>
      </c>
    </row>
    <row r="16" customFormat="false" ht="15" hidden="false" customHeight="false" outlineLevel="0" collapsed="false">
      <c r="A16" s="3" t="s">
        <v>531</v>
      </c>
    </row>
    <row r="17" customFormat="false" ht="15" hidden="false" customHeight="false" outlineLevel="0" collapsed="false">
      <c r="A17" s="6" t="s">
        <v>532</v>
      </c>
      <c r="B17" s="6" t="s">
        <v>410</v>
      </c>
      <c r="C17" s="6" t="s">
        <v>533</v>
      </c>
      <c r="D17" s="6" t="s">
        <v>534</v>
      </c>
    </row>
    <row r="18" customFormat="false" ht="15" hidden="false" customHeight="false" outlineLevel="0" collapsed="false">
      <c r="A18" s="7" t="s">
        <v>535</v>
      </c>
      <c r="B18" s="7" t="n">
        <v>2021</v>
      </c>
      <c r="C18" s="33" t="n">
        <v>75</v>
      </c>
      <c r="D18" s="7" t="s">
        <v>536</v>
      </c>
    </row>
    <row r="19" customFormat="false" ht="15" hidden="false" customHeight="false" outlineLevel="0" collapsed="false">
      <c r="A19" s="7" t="s">
        <v>537</v>
      </c>
      <c r="B19" s="7" t="n">
        <v>2024</v>
      </c>
      <c r="C19" s="33" t="n">
        <v>125</v>
      </c>
      <c r="D19" s="7" t="s">
        <v>538</v>
      </c>
    </row>
    <row r="20" customFormat="false" ht="15" hidden="false" customHeight="false" outlineLevel="0" collapsed="false">
      <c r="A20" s="7" t="s">
        <v>539</v>
      </c>
      <c r="B20" s="7" t="n">
        <v>2024</v>
      </c>
      <c r="C20" s="33" t="n">
        <v>22</v>
      </c>
      <c r="D20" s="7" t="s">
        <v>540</v>
      </c>
    </row>
    <row r="21" customFormat="false" ht="15" hidden="false" customHeight="false" outlineLevel="0" collapsed="false">
      <c r="A21" s="7" t="s">
        <v>541</v>
      </c>
      <c r="B21" s="7" t="n">
        <v>2020</v>
      </c>
      <c r="C21" s="33" t="n">
        <v>45</v>
      </c>
      <c r="D21" s="7" t="s">
        <v>542</v>
      </c>
    </row>
    <row r="22" customFormat="false" ht="15" hidden="false" customHeight="false" outlineLevel="0" collapsed="false">
      <c r="A22" s="7" t="s">
        <v>543</v>
      </c>
      <c r="B22" s="7" t="n">
        <v>2026</v>
      </c>
      <c r="C22" s="33" t="n">
        <v>55</v>
      </c>
      <c r="D22" s="7" t="s">
        <v>544</v>
      </c>
    </row>
    <row r="23" customFormat="false" ht="15" hidden="false" customHeight="false" outlineLevel="0" collapsed="false">
      <c r="A23" s="7" t="s">
        <v>545</v>
      </c>
      <c r="B23" s="7" t="n">
        <v>2014</v>
      </c>
      <c r="C23" s="33" t="n">
        <v>90</v>
      </c>
      <c r="D23" s="7" t="s">
        <v>546</v>
      </c>
    </row>
    <row r="24" customFormat="false" ht="15" hidden="false" customHeight="false" outlineLevel="0" collapsed="false">
      <c r="A24" s="7" t="s">
        <v>547</v>
      </c>
      <c r="B24" s="7" t="n">
        <v>2023</v>
      </c>
      <c r="C24" s="33" t="n">
        <v>50</v>
      </c>
      <c r="D24" s="7" t="s">
        <v>548</v>
      </c>
    </row>
    <row r="26" customFormat="false" ht="15" hidden="false" customHeight="false" outlineLevel="0" collapsed="false">
      <c r="A26" s="4" t="s">
        <v>549</v>
      </c>
      <c r="C26" s="34" t="n">
        <f aca="false">MEDIAN(C18:C24)</f>
        <v>55</v>
      </c>
    </row>
    <row r="27" customFormat="false" ht="15" hidden="false" customHeight="false" outlineLevel="0" collapsed="false">
      <c r="A27" s="4" t="s">
        <v>550</v>
      </c>
      <c r="C27" s="35" t="n">
        <f aca="false">C26*1.2</f>
        <v>66</v>
      </c>
    </row>
    <row r="28" customFormat="false" ht="15" hidden="false" customHeight="false" outlineLevel="0" collapsed="false">
      <c r="A28" s="4" t="s">
        <v>551</v>
      </c>
      <c r="C28" s="35" t="n">
        <f aca="false">C27*0.75</f>
        <v>49.5</v>
      </c>
    </row>
    <row r="29" customFormat="false" ht="15" hidden="false" customHeight="false" outlineLevel="0" collapsed="false">
      <c r="A29" s="4" t="s">
        <v>552</v>
      </c>
      <c r="C29" s="34" t="n">
        <f aca="false">C28</f>
        <v>49.5</v>
      </c>
    </row>
    <row r="31" customFormat="false" ht="15" hidden="false" customHeight="false" outlineLevel="0" collapsed="false">
      <c r="A31" s="3" t="s">
        <v>553</v>
      </c>
    </row>
    <row r="32" customFormat="false" ht="15" hidden="false" customHeight="false" outlineLevel="0" collapsed="false">
      <c r="A32" s="6" t="s">
        <v>22</v>
      </c>
      <c r="B32" s="6" t="s">
        <v>554</v>
      </c>
      <c r="C32" s="6" t="s">
        <v>555</v>
      </c>
      <c r="D32" s="6" t="s">
        <v>556</v>
      </c>
    </row>
    <row r="33" customFormat="false" ht="15" hidden="false" customHeight="false" outlineLevel="0" collapsed="false">
      <c r="A33" s="7" t="s">
        <v>557</v>
      </c>
      <c r="B33" s="36" t="n">
        <v>0.4</v>
      </c>
      <c r="C33" s="37" t="n">
        <f aca="false">C28*B33</f>
        <v>19.8</v>
      </c>
      <c r="D33" s="7" t="s">
        <v>558</v>
      </c>
    </row>
    <row r="34" customFormat="false" ht="15" hidden="false" customHeight="false" outlineLevel="0" collapsed="false">
      <c r="A34" s="7" t="s">
        <v>559</v>
      </c>
      <c r="B34" s="36" t="n">
        <v>1</v>
      </c>
      <c r="C34" s="37" t="n">
        <f aca="false">C28*B34</f>
        <v>49.5</v>
      </c>
      <c r="D34" s="7" t="s">
        <v>560</v>
      </c>
    </row>
    <row r="35" customFormat="false" ht="15" hidden="false" customHeight="false" outlineLevel="0" collapsed="false">
      <c r="A35" s="7" t="s">
        <v>561</v>
      </c>
      <c r="B35" s="36" t="n">
        <v>1.4</v>
      </c>
      <c r="C35" s="37" t="n">
        <f aca="false">C28*B35</f>
        <v>69.3</v>
      </c>
      <c r="D35" s="7" t="s">
        <v>562</v>
      </c>
    </row>
    <row r="36" customFormat="false" ht="15" hidden="false" customHeight="false" outlineLevel="0" collapsed="false">
      <c r="A36" s="7" t="s">
        <v>563</v>
      </c>
      <c r="B36" s="36" t="n">
        <v>2.5</v>
      </c>
      <c r="C36" s="37" t="n">
        <f aca="false">C28*B36</f>
        <v>123.75</v>
      </c>
      <c r="D36" s="7" t="s">
        <v>564</v>
      </c>
    </row>
    <row r="38" customFormat="false" ht="15" hidden="false" customHeight="false" outlineLevel="0" collapsed="false">
      <c r="A38" s="3" t="s">
        <v>565</v>
      </c>
    </row>
    <row r="39" customFormat="false" ht="15" hidden="false" customHeight="false" outlineLevel="0" collapsed="false">
      <c r="A39" s="6" t="s">
        <v>566</v>
      </c>
      <c r="B39" s="6" t="s">
        <v>567</v>
      </c>
      <c r="C39" s="6" t="s">
        <v>568</v>
      </c>
      <c r="D39" s="6" t="s">
        <v>569</v>
      </c>
    </row>
    <row r="40" customFormat="false" ht="15" hidden="false" customHeight="false" outlineLevel="0" collapsed="false">
      <c r="A40" s="38" t="s">
        <v>570</v>
      </c>
      <c r="B40" s="8" t="n">
        <v>40</v>
      </c>
      <c r="C40" s="8" t="n">
        <v>55</v>
      </c>
      <c r="D40" s="8" t="n">
        <v>70</v>
      </c>
    </row>
    <row r="41" customFormat="false" ht="15" hidden="false" customHeight="false" outlineLevel="0" collapsed="false">
      <c r="A41" s="38" t="s">
        <v>571</v>
      </c>
      <c r="B41" s="8" t="n">
        <v>30</v>
      </c>
      <c r="C41" s="8" t="n">
        <v>50</v>
      </c>
      <c r="D41" s="8" t="n">
        <v>70</v>
      </c>
    </row>
    <row r="42" customFormat="false" ht="15" hidden="false" customHeight="false" outlineLevel="0" collapsed="false">
      <c r="A42" s="38" t="s">
        <v>572</v>
      </c>
      <c r="B42" s="8" t="n">
        <v>20</v>
      </c>
      <c r="C42" s="8" t="n">
        <v>50</v>
      </c>
      <c r="D42" s="8" t="n">
        <v>130</v>
      </c>
    </row>
    <row r="43" customFormat="false" ht="15" hidden="false" customHeight="false" outlineLevel="0" collapsed="false">
      <c r="A43" s="38" t="s">
        <v>573</v>
      </c>
      <c r="B43" s="8" t="n">
        <v>30</v>
      </c>
      <c r="C43" s="8" t="n">
        <v>50</v>
      </c>
      <c r="D43" s="8" t="n">
        <v>75</v>
      </c>
    </row>
    <row r="44" customFormat="false" ht="15" hidden="false" customHeight="false" outlineLevel="0" collapsed="false">
      <c r="A44" s="39" t="s">
        <v>574</v>
      </c>
      <c r="B44" s="40" t="n">
        <v>45</v>
      </c>
      <c r="C44" s="40" t="n">
        <v>55</v>
      </c>
      <c r="D44" s="40" t="n">
        <v>60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575</v>
      </c>
      <c r="B1" s="1"/>
      <c r="C1" s="1"/>
      <c r="D1" s="1"/>
      <c r="E1" s="1"/>
    </row>
    <row r="3" customFormat="false" ht="15" hidden="false" customHeight="false" outlineLevel="0" collapsed="false">
      <c r="A3" s="6" t="s">
        <v>576</v>
      </c>
      <c r="B3" s="6" t="s">
        <v>577</v>
      </c>
      <c r="C3" s="6" t="s">
        <v>578</v>
      </c>
      <c r="D3" s="6" t="s">
        <v>579</v>
      </c>
    </row>
    <row r="4" customFormat="false" ht="79.5" hidden="false" customHeight="true" outlineLevel="0" collapsed="false">
      <c r="A4" s="41" t="s">
        <v>580</v>
      </c>
      <c r="B4" s="41" t="s">
        <v>581</v>
      </c>
      <c r="C4" s="7" t="s">
        <v>582</v>
      </c>
      <c r="D4" s="7" t="s">
        <v>583</v>
      </c>
    </row>
    <row r="5" customFormat="false" ht="79.5" hidden="false" customHeight="true" outlineLevel="0" collapsed="false">
      <c r="A5" s="41" t="s">
        <v>584</v>
      </c>
      <c r="B5" s="41" t="s">
        <v>585</v>
      </c>
      <c r="C5" s="7" t="s">
        <v>586</v>
      </c>
      <c r="D5" s="7" t="s">
        <v>587</v>
      </c>
    </row>
    <row r="6" customFormat="false" ht="79.5" hidden="false" customHeight="true" outlineLevel="0" collapsed="false">
      <c r="A6" s="41" t="s">
        <v>588</v>
      </c>
      <c r="B6" s="41" t="s">
        <v>589</v>
      </c>
      <c r="C6" s="7" t="s">
        <v>590</v>
      </c>
      <c r="D6" s="7" t="s">
        <v>591</v>
      </c>
    </row>
    <row r="7" customFormat="false" ht="79.5" hidden="false" customHeight="true" outlineLevel="0" collapsed="false">
      <c r="A7" s="41" t="s">
        <v>592</v>
      </c>
      <c r="B7" s="41" t="s">
        <v>593</v>
      </c>
      <c r="C7" s="7" t="s">
        <v>594</v>
      </c>
      <c r="D7" s="7" t="s">
        <v>595</v>
      </c>
    </row>
    <row r="8" customFormat="false" ht="79.5" hidden="false" customHeight="true" outlineLevel="0" collapsed="false">
      <c r="A8" s="41" t="s">
        <v>596</v>
      </c>
      <c r="B8" s="41" t="s">
        <v>597</v>
      </c>
      <c r="C8" s="7" t="s">
        <v>598</v>
      </c>
      <c r="D8" s="7" t="s">
        <v>599</v>
      </c>
    </row>
    <row r="9" customFormat="false" ht="79.5" hidden="false" customHeight="true" outlineLevel="0" collapsed="false">
      <c r="A9" s="41" t="s">
        <v>600</v>
      </c>
      <c r="B9" s="41" t="s">
        <v>601</v>
      </c>
      <c r="C9" s="7" t="s">
        <v>602</v>
      </c>
      <c r="D9" s="7" t="s">
        <v>603</v>
      </c>
    </row>
    <row r="11" customFormat="false" ht="15" hidden="false" customHeight="false" outlineLevel="0" collapsed="false">
      <c r="A11" s="3" t="s">
        <v>604</v>
      </c>
    </row>
    <row r="12" customFormat="false" ht="45" hidden="false" customHeight="true" outlineLevel="0" collapsed="false">
      <c r="A12" s="4" t="s">
        <v>605</v>
      </c>
      <c r="B12" s="26" t="s">
        <v>606</v>
      </c>
      <c r="C12" s="26"/>
      <c r="D12" s="26"/>
    </row>
    <row r="13" customFormat="false" ht="45" hidden="false" customHeight="true" outlineLevel="0" collapsed="false">
      <c r="A13" s="4" t="s">
        <v>607</v>
      </c>
      <c r="B13" s="26" t="s">
        <v>608</v>
      </c>
      <c r="C13" s="26"/>
      <c r="D13" s="26"/>
    </row>
    <row r="14" customFormat="false" ht="45" hidden="false" customHeight="true" outlineLevel="0" collapsed="false">
      <c r="A14" s="4" t="s">
        <v>609</v>
      </c>
      <c r="B14" s="26" t="s">
        <v>610</v>
      </c>
      <c r="C14" s="26"/>
      <c r="D14" s="26"/>
    </row>
    <row r="15" customFormat="false" ht="45" hidden="false" customHeight="true" outlineLevel="0" collapsed="false">
      <c r="A15" s="4" t="s">
        <v>611</v>
      </c>
      <c r="B15" s="26" t="s">
        <v>612</v>
      </c>
      <c r="C15" s="26"/>
      <c r="D15" s="26"/>
    </row>
    <row r="16" customFormat="false" ht="45" hidden="false" customHeight="true" outlineLevel="0" collapsed="false">
      <c r="A16" s="4" t="s">
        <v>613</v>
      </c>
      <c r="B16" s="26" t="s">
        <v>614</v>
      </c>
      <c r="C16" s="26"/>
      <c r="D16" s="26"/>
    </row>
    <row r="17" customFormat="false" ht="45" hidden="false" customHeight="true" outlineLevel="0" collapsed="false">
      <c r="A17" s="4" t="s">
        <v>615</v>
      </c>
      <c r="B17" s="26" t="s">
        <v>616</v>
      </c>
      <c r="C17" s="26"/>
      <c r="D17" s="26"/>
    </row>
    <row r="18" customFormat="false" ht="45" hidden="false" customHeight="true" outlineLevel="0" collapsed="false">
      <c r="A18" s="4" t="s">
        <v>617</v>
      </c>
      <c r="B18" s="26" t="s">
        <v>618</v>
      </c>
      <c r="C18" s="26"/>
      <c r="D18" s="26"/>
    </row>
  </sheetData>
  <mergeCells count="8">
    <mergeCell ref="A1:E1"/>
    <mergeCell ref="B12:D12"/>
    <mergeCell ref="B13:D13"/>
    <mergeCell ref="B14:D14"/>
    <mergeCell ref="B15:D15"/>
    <mergeCell ref="B16:D16"/>
    <mergeCell ref="B17:D17"/>
    <mergeCell ref="B18:D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70"/>
  </cols>
  <sheetData>
    <row r="1" customFormat="false" ht="17.35" hidden="false" customHeight="false" outlineLevel="0" collapsed="false">
      <c r="A1" s="1" t="s">
        <v>619</v>
      </c>
      <c r="B1" s="1"/>
      <c r="C1" s="1"/>
    </row>
    <row r="3" customFormat="false" ht="15" hidden="false" customHeight="false" outlineLevel="0" collapsed="false">
      <c r="A3" s="6" t="s">
        <v>98</v>
      </c>
      <c r="B3" s="6" t="s">
        <v>620</v>
      </c>
      <c r="C3" s="6" t="s">
        <v>621</v>
      </c>
    </row>
    <row r="4" customFormat="false" ht="15" hidden="false" customHeight="false" outlineLevel="0" collapsed="false">
      <c r="A4" s="42" t="s">
        <v>622</v>
      </c>
      <c r="B4" s="7" t="s">
        <v>623</v>
      </c>
      <c r="C4" s="43" t="s">
        <v>624</v>
      </c>
    </row>
    <row r="5" customFormat="false" ht="15" hidden="false" customHeight="false" outlineLevel="0" collapsed="false">
      <c r="A5" s="42" t="s">
        <v>622</v>
      </c>
      <c r="B5" s="7" t="s">
        <v>625</v>
      </c>
      <c r="C5" s="43" t="s">
        <v>626</v>
      </c>
    </row>
    <row r="6" customFormat="false" ht="15" hidden="false" customHeight="false" outlineLevel="0" collapsed="false">
      <c r="A6" s="42" t="s">
        <v>622</v>
      </c>
      <c r="B6" s="7" t="s">
        <v>627</v>
      </c>
      <c r="C6" s="43" t="s">
        <v>628</v>
      </c>
    </row>
    <row r="7" customFormat="false" ht="15" hidden="false" customHeight="false" outlineLevel="0" collapsed="false">
      <c r="A7" s="42" t="s">
        <v>629</v>
      </c>
      <c r="B7" s="7" t="s">
        <v>630</v>
      </c>
      <c r="C7" s="43" t="s">
        <v>631</v>
      </c>
    </row>
    <row r="8" customFormat="false" ht="15" hidden="false" customHeight="false" outlineLevel="0" collapsed="false">
      <c r="A8" s="42" t="s">
        <v>622</v>
      </c>
      <c r="B8" s="7" t="s">
        <v>632</v>
      </c>
      <c r="C8" s="43" t="s">
        <v>633</v>
      </c>
    </row>
    <row r="9" customFormat="false" ht="15" hidden="false" customHeight="false" outlineLevel="0" collapsed="false">
      <c r="A9" s="42" t="s">
        <v>622</v>
      </c>
      <c r="B9" s="7" t="s">
        <v>634</v>
      </c>
      <c r="C9" s="43" t="s">
        <v>635</v>
      </c>
    </row>
    <row r="10" customFormat="false" ht="23.85" hidden="false" customHeight="false" outlineLevel="0" collapsed="false">
      <c r="A10" s="42" t="s">
        <v>622</v>
      </c>
      <c r="B10" s="7" t="s">
        <v>636</v>
      </c>
      <c r="C10" s="43" t="s">
        <v>637</v>
      </c>
    </row>
    <row r="11" customFormat="false" ht="23.85" hidden="false" customHeight="false" outlineLevel="0" collapsed="false">
      <c r="A11" s="42" t="s">
        <v>622</v>
      </c>
      <c r="B11" s="7" t="s">
        <v>638</v>
      </c>
      <c r="C11" s="43" t="s">
        <v>639</v>
      </c>
    </row>
    <row r="12" customFormat="false" ht="15" hidden="false" customHeight="false" outlineLevel="0" collapsed="false">
      <c r="A12" s="42" t="s">
        <v>629</v>
      </c>
      <c r="B12" s="7" t="s">
        <v>640</v>
      </c>
      <c r="C12" s="43" t="s">
        <v>641</v>
      </c>
    </row>
    <row r="13" customFormat="false" ht="15" hidden="false" customHeight="false" outlineLevel="0" collapsed="false">
      <c r="A13" s="42" t="s">
        <v>629</v>
      </c>
      <c r="B13" s="7" t="s">
        <v>642</v>
      </c>
      <c r="C13" s="43" t="s">
        <v>643</v>
      </c>
    </row>
    <row r="14" customFormat="false" ht="23.85" hidden="false" customHeight="false" outlineLevel="0" collapsed="false">
      <c r="A14" s="42" t="s">
        <v>622</v>
      </c>
      <c r="B14" s="7" t="s">
        <v>644</v>
      </c>
      <c r="C14" s="43" t="s">
        <v>645</v>
      </c>
    </row>
    <row r="15" customFormat="false" ht="15" hidden="false" customHeight="false" outlineLevel="0" collapsed="false">
      <c r="A15" s="42" t="s">
        <v>622</v>
      </c>
      <c r="B15" s="7" t="s">
        <v>646</v>
      </c>
      <c r="C15" s="43" t="s">
        <v>647</v>
      </c>
    </row>
    <row r="16" customFormat="false" ht="15" hidden="false" customHeight="false" outlineLevel="0" collapsed="false">
      <c r="A16" s="42" t="s">
        <v>622</v>
      </c>
      <c r="B16" s="7" t="s">
        <v>648</v>
      </c>
      <c r="C16" s="43" t="s">
        <v>649</v>
      </c>
    </row>
    <row r="17" customFormat="false" ht="15" hidden="false" customHeight="false" outlineLevel="0" collapsed="false">
      <c r="A17" s="42" t="s">
        <v>622</v>
      </c>
      <c r="B17" s="7" t="s">
        <v>650</v>
      </c>
      <c r="C17" s="43" t="s">
        <v>651</v>
      </c>
    </row>
    <row r="18" customFormat="false" ht="15" hidden="false" customHeight="false" outlineLevel="0" collapsed="false">
      <c r="A18" s="42" t="s">
        <v>622</v>
      </c>
      <c r="B18" s="7" t="s">
        <v>652</v>
      </c>
      <c r="C18" s="43" t="s">
        <v>653</v>
      </c>
    </row>
    <row r="19" customFormat="false" ht="15" hidden="false" customHeight="false" outlineLevel="0" collapsed="false">
      <c r="A19" s="42" t="s">
        <v>622</v>
      </c>
      <c r="B19" s="7" t="s">
        <v>654</v>
      </c>
      <c r="C19" s="43" t="s">
        <v>655</v>
      </c>
    </row>
    <row r="20" customFormat="false" ht="15" hidden="false" customHeight="false" outlineLevel="0" collapsed="false">
      <c r="A20" s="42" t="s">
        <v>622</v>
      </c>
      <c r="B20" s="7" t="s">
        <v>656</v>
      </c>
      <c r="C20" s="43" t="s">
        <v>657</v>
      </c>
    </row>
    <row r="21" customFormat="false" ht="15" hidden="false" customHeight="false" outlineLevel="0" collapsed="false">
      <c r="A21" s="42" t="s">
        <v>622</v>
      </c>
      <c r="B21" s="7" t="s">
        <v>658</v>
      </c>
      <c r="C21" s="43" t="s">
        <v>659</v>
      </c>
    </row>
  </sheetData>
  <mergeCells count="1">
    <mergeCell ref="A1:C1"/>
  </mergeCells>
  <hyperlinks>
    <hyperlink ref="C4" r:id="rId1" display="https://techcrunch.com/2021/06/25/aws-is-buying-encrypted-messaging-service-wickr/"/>
    <hyperlink ref="C5" r:id="rId2" display="https://techcrunch.com/2024/04/09/wordpress-com-owner-automattic-acquires-multi-service-messaging-app-beeper-for-125m/"/>
    <hyperlink ref="C6" r:id="rId3" display="https://techcrunch.com/2024/02/09/notion-acquires-privacy-focused-productivity-platform-skiff/"/>
    <hyperlink ref="C7" r:id="rId4" display="https://www.vischer.com/en/knowledge/deals-cases/afinum-acquires-threema-38719/"/>
    <hyperlink ref="C8" r:id="rId5" display="https://www.privacyguides.org/news/2026/01/16/another-private-equity-firm-acquires-threema/"/>
    <hyperlink ref="C9" r:id="rId6" display="https://www.crunchbase.com/organization/symphony-3"/>
    <hyperlink ref="C10" r:id="rId7" display="https://www.theregister.com/2026/02/09/matrix_element_secure_chat/"/>
    <hyperlink ref="C11" r:id="rId8" display="https://wire.com/en/blog/schwarzgruppe-partnership"/>
    <hyperlink ref="C12" r:id="rId9" display="https://schwarz-digits.de/en/presse/archive/2024/focus-on-sovereign-communication-with-wire-schwarz-digits-realigns-digital-service-provider-mmmake"/>
    <hyperlink ref="C13" r:id="rId10" display="https://en.wikipedia.org/wiki/Proton_AG"/>
    <hyperlink ref="C14" r:id="rId11" display="https://fortune.com/crypto/2025/03/20/telegram-based-blockchain-ton-raises-400-million-from-prominent-crypto-vcs/"/>
    <hyperlink ref="C15" r:id="rId12" display="https://en.wikipedia.org/wiki/ToTok"/>
    <hyperlink ref="C16" r:id="rId13" display="https://www.blackberry.com/us/en/company/newsroom/press-releases/2014/blackberry-reinforces-mobile-security-leadership-with-acquisition-of-secusmart"/>
    <hyperlink ref="C17" r:id="rId14" display="https://techcrunch.com/2014/02/13/japanese-internet-giant-rakuten-acquires-viber-for-900m/"/>
    <hyperlink ref="C18" r:id="rId15" display="https://www.dailysabah.com/business/tech/turkish-messaging-app-bips-global-users-near-8m"/>
    <hyperlink ref="C19" r:id="rId16" display="https://afridigest.com/africas-super-app-landscape-evolving/"/>
    <hyperlink ref="C20" r:id="rId17" display="https://www.crunchbase.com/organization/nord-security"/>
    <hyperlink ref="C21" r:id="rId18" display="https://www.reuters.com/business/atos-bds-airbus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2026-05-21T12:13:30Z</dcterms:created>
  <dc:creator>openpyxl</dc:creator>
  <dc:description/>
  <dc:language>en-US</dc:language>
  <cp:lastModifiedBy/>
  <dcterms:modified xsi:type="dcterms:W3CDTF">2026-05-21T12:13:30Z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