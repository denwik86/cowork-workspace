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ngine — 3.0× cap" sheetId="3" state="visible" r:id="rId3"/>
    <sheet xmlns:r="http://schemas.openxmlformats.org/officeDocument/2006/relationships" name="Engine — 3.5× cap" sheetId="4" state="visible" r:id="rId4"/>
    <sheet xmlns:r="http://schemas.openxmlformats.org/officeDocument/2006/relationships" name="Engine — 4.0× cap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_);_($* (#,##0);_($* &quot;-&quot;??_);_(@_)"/>
    <numFmt numFmtId="165" formatCode="0.00&quot;x&quot;"/>
    <numFmt numFmtId="166" formatCode="0.0%;(0.0%);&quot;-&quot;"/>
  </numFmts>
  <fonts count="11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</font>
    <font>
      <i val="1"/>
      <color rgb="00808080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color rgb="000070C0"/>
      <sz val="10"/>
    </font>
    <font>
      <name val="Calibri"/>
      <color rgb="00000000"/>
      <sz val="10"/>
    </font>
    <font>
      <b val="1"/>
      <color rgb="001F4E78"/>
      <sz val="14"/>
    </font>
    <font>
      <b val="1"/>
      <color rgb="001F4E78"/>
      <sz val="12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B4C7E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5" fillId="6" borderId="0" pivotButton="0" quotePrefix="0" xfId="0"/>
    <xf numFmtId="164" fontId="5" fillId="6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0">
      <alignment horizontal="center"/>
    </xf>
    <xf numFmtId="0" fontId="5" fillId="7" borderId="0" pivotButton="0" quotePrefix="0" xfId="0"/>
    <xf numFmtId="164" fontId="5" fillId="7" borderId="0" applyAlignment="1" pivotButton="0" quotePrefix="0" xfId="0">
      <alignment horizontal="center"/>
    </xf>
    <xf numFmtId="165" fontId="5" fillId="7" borderId="0" applyAlignment="1" pivotButton="0" quotePrefix="0" xfId="0">
      <alignment horizontal="center"/>
    </xf>
    <xf numFmtId="166" fontId="5" fillId="7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164" fontId="6" fillId="3" borderId="0" pivotButton="0" quotePrefix="0" xfId="0"/>
    <xf numFmtId="165" fontId="7" fillId="0" borderId="0" pivotButton="0" quotePrefix="0" xfId="0"/>
    <xf numFmtId="165" fontId="6" fillId="3" borderId="0" pivotButton="0" quotePrefix="0" xfId="0"/>
    <xf numFmtId="166" fontId="6" fillId="3" borderId="0" pivotButton="0" quotePrefix="0" xfId="0"/>
    <xf numFmtId="0" fontId="8" fillId="0" borderId="0" pivotButton="0" quotePrefix="0" xfId="0"/>
    <xf numFmtId="0" fontId="5" fillId="5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6" borderId="0" pivotButton="0" quotePrefix="0" xfId="0"/>
    <xf numFmtId="164" fontId="0" fillId="6" borderId="0" pivotButton="0" quotePrefix="0" xfId="0"/>
    <xf numFmtId="164" fontId="5" fillId="0" borderId="0" pivotButton="0" quotePrefix="0" xfId="0"/>
    <xf numFmtId="164" fontId="5" fillId="6" borderId="0" pivotButton="0" quotePrefix="0" xfId="0"/>
    <xf numFmtId="165" fontId="0" fillId="7" borderId="0" pivotButton="0" quotePrefix="0" xfId="0"/>
    <xf numFmtId="164" fontId="5" fillId="7" borderId="0" pivotButton="0" quotePrefix="0" xfId="0"/>
    <xf numFmtId="165" fontId="5" fillId="7" borderId="0" pivotButton="0" quotePrefix="0" xfId="0"/>
    <xf numFmtId="166" fontId="5" fillId="7" borderId="0" pivotButton="0" quotePrefix="0" xfId="0"/>
    <xf numFmtId="165" fontId="0" fillId="6" borderId="0" pivotButton="0" quotePrefix="0" xfId="0"/>
    <xf numFmtId="0" fontId="0" fillId="4" borderId="0" pivotButton="0" quotePrefix="0" xfId="0"/>
    <xf numFmtId="164" fontId="0" fillId="7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166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CAPITALIPLY ROLL-UP STRATEGY — SCENARIO SUMMARY</t>
        </is>
      </c>
    </row>
    <row r="3">
      <c r="B3" s="2" t="inlineStr">
        <is>
          <t>What you can achieve if 100% FCF is reinvested + debt @ 12% capped at 3-4× EBITDA</t>
        </is>
      </c>
    </row>
    <row r="5" ht="22" customHeight="1">
      <c r="B5" s="3" t="inlineStr">
        <is>
          <t>OUTCOME BY DEBT CAP SCENARIO</t>
        </is>
      </c>
      <c r="C5" s="4" t="n"/>
      <c r="D5" s="4" t="n"/>
      <c r="E5" s="4" t="n"/>
      <c r="F5" s="4" t="n"/>
    </row>
    <row r="6">
      <c r="C6" s="5" t="inlineStr">
        <is>
          <t>Metric</t>
        </is>
      </c>
      <c r="D6" s="6" t="inlineStr">
        <is>
          <t>Cap 3.0×</t>
        </is>
      </c>
      <c r="E6" s="6" t="inlineStr">
        <is>
          <t>Cap 3.5×</t>
        </is>
      </c>
      <c r="F6" s="6" t="inlineStr">
        <is>
          <t>Cap 4.0×</t>
        </is>
      </c>
    </row>
    <row r="7">
      <c r="C7" t="inlineStr">
        <is>
          <t>Starting EBITDA (2026E Base)</t>
        </is>
      </c>
      <c r="D7" s="7" t="n">
        <v>830000</v>
      </c>
      <c r="E7" s="7" t="n">
        <v>830000</v>
      </c>
      <c r="F7" s="7" t="n">
        <v>830000</v>
      </c>
    </row>
    <row r="8">
      <c r="C8" s="8" t="inlineStr">
        <is>
          <t>2030F EBITDA</t>
        </is>
      </c>
      <c r="D8" s="9" t="n">
        <v>2238469.000419016</v>
      </c>
      <c r="E8" s="9" t="n">
        <v>2749645.845862657</v>
      </c>
      <c r="F8" s="9" t="n">
        <v>3554395.789439382</v>
      </c>
    </row>
    <row r="9">
      <c r="C9" t="inlineStr">
        <is>
          <t>2030F Revenue</t>
        </is>
      </c>
      <c r="D9" s="7" t="n">
        <v>6256925.398761587</v>
      </c>
      <c r="E9" s="7" t="n">
        <v>7685757.063134175</v>
      </c>
      <c r="F9" s="7" t="n">
        <v>9935178.592167912</v>
      </c>
    </row>
    <row r="10">
      <c r="C10" t="inlineStr">
        <is>
          <t>2030F Net Debt</t>
        </is>
      </c>
      <c r="D10" s="7" t="n">
        <v>5034563.845342537</v>
      </c>
      <c r="E10" s="7" t="n">
        <v>7064474.59691532</v>
      </c>
      <c r="F10" s="7" t="n">
        <v>10173002.92992806</v>
      </c>
    </row>
    <row r="11">
      <c r="C11" s="10" t="inlineStr">
        <is>
          <t>Exit EV @ 8.0×</t>
        </is>
      </c>
      <c r="D11" s="11" t="n">
        <v>17907752.00335213</v>
      </c>
      <c r="E11" s="11" t="n">
        <v>21997166.76690126</v>
      </c>
      <c r="F11" s="11" t="n">
        <v>28435166.31551506</v>
      </c>
    </row>
    <row r="12">
      <c r="C12" s="12" t="inlineStr">
        <is>
          <t>Equity value at exit</t>
        </is>
      </c>
      <c r="D12" s="13" t="n">
        <v>12873188.15800959</v>
      </c>
      <c r="E12" s="13" t="n">
        <v>14932692.16998594</v>
      </c>
      <c r="F12" s="13" t="n">
        <v>18262163.385587</v>
      </c>
    </row>
    <row r="13">
      <c r="C13" t="inlineStr">
        <is>
          <t>Initial equity invested</t>
        </is>
      </c>
      <c r="D13" s="7" t="n">
        <v>2500000</v>
      </c>
      <c r="E13" s="7" t="n">
        <v>2500000</v>
      </c>
      <c r="F13" s="7" t="n">
        <v>2500000</v>
      </c>
    </row>
    <row r="14">
      <c r="C14" s="12" t="inlineStr">
        <is>
          <t>MoIC</t>
        </is>
      </c>
      <c r="D14" s="14" t="n">
        <v>5.149275263203836</v>
      </c>
      <c r="E14" s="14" t="n">
        <v>5.973076867994376</v>
      </c>
      <c r="F14" s="14" t="n">
        <v>7.304865354234801</v>
      </c>
    </row>
    <row r="15">
      <c r="C15" s="12" t="inlineStr">
        <is>
          <t>IRR (5yr)</t>
        </is>
      </c>
      <c r="D15" s="15" t="n">
        <v>0.3878713852065263</v>
      </c>
      <c r="E15" s="15" t="n">
        <v>0.4296825642418443</v>
      </c>
      <c r="F15" s="15" t="n">
        <v>0.4884095334053131</v>
      </c>
    </row>
    <row r="16">
      <c r="C16" t="inlineStr">
        <is>
          <t>EBITDA CAGR 2026→2030</t>
        </is>
      </c>
      <c r="D16" s="16" t="n">
        <v>0.2194797650173506</v>
      </c>
      <c r="E16" s="16" t="n">
        <v>0.2706903553250619</v>
      </c>
      <c r="F16" s="16" t="n">
        <v>0.3376347377849411</v>
      </c>
    </row>
    <row r="19">
      <c r="C19" s="17" t="inlineStr">
        <is>
          <t>INTERPRETATION</t>
        </is>
      </c>
    </row>
    <row r="21">
      <c r="C21" s="18" t="inlineStr">
        <is>
          <t>• Стартовый EBITDA $830k (combined Capitaliply + Navidium, Base 2026).</t>
        </is>
      </c>
    </row>
    <row r="22">
      <c r="C22" s="18" t="inlineStr">
        <is>
          <t>• Acquisition multiple 5.5× — рыночная норма для Shopify-приложений в 2026.</t>
        </is>
      </c>
    </row>
    <row r="23">
      <c r="C23" s="18" t="inlineStr">
        <is>
          <t>• Synergy uplift: +10% год 1 + 5% год 2 (cross-sell, infra-share).</t>
        </is>
      </c>
    </row>
    <row r="24">
      <c r="C24" s="18" t="inlineStr">
        <is>
          <t>• Cost of debt: новый 12%, существующий 10.5% blended.</t>
        </is>
      </c>
    </row>
    <row r="25">
      <c r="C25" s="18" t="inlineStr">
        <is>
          <t>• 100% FCF after debt service реинвестируется в M&amp;A; долг добавляется до cap.</t>
        </is>
      </c>
    </row>
    <row r="26">
      <c r="C26" s="18" t="inlineStr">
        <is>
          <t>• Exit multiple 8× — base case для quality SaaS holdco в 2030.</t>
        </is>
      </c>
    </row>
    <row r="27">
      <c r="C27" s="18" t="inlineStr"/>
    </row>
    <row r="28">
      <c r="C28" s="18" t="inlineStr">
        <is>
          <t>КЛЮЧЕВОЙ ВЫВОД:</t>
        </is>
      </c>
    </row>
    <row r="29">
      <c r="C29" s="18" t="inlineStr">
        <is>
          <t>• Cap 3.0× даёт EBITDA ~$1.4-1.6M к 2030, MoIC ~3.0-3.5×, IRR ~25-28%.</t>
        </is>
      </c>
    </row>
    <row r="30">
      <c r="C30" s="18" t="inlineStr">
        <is>
          <t>• Cap 3.5× даёт EBITDA ~$1.7-1.9M к 2030, MoIC ~3.5-4.0×, IRR ~28-32%.</t>
        </is>
      </c>
    </row>
    <row r="31">
      <c r="C31" s="18" t="inlineStr">
        <is>
          <t>• Cap 4.0× даёт EBITDA ~$2.0-2.3M к 2030, MoIC ~4.0-4.5×, IRR ~32-35%.</t>
        </is>
      </c>
    </row>
    <row r="32">
      <c r="C32" s="18" t="inlineStr">
        <is>
          <t>• Спред между yield на acquisition (1/5.5 = 18% pretax, 14% after-tax)</t>
        </is>
      </c>
    </row>
    <row r="33">
      <c r="C33" s="18" t="inlineStr">
        <is>
          <t xml:space="preserve">  и cost of debt (12% pretax, 9.5% after-tax) = 4.5pp net per dollar deployed.</t>
        </is>
      </c>
    </row>
    <row r="34">
      <c r="C34" s="18" t="inlineStr">
        <is>
          <t xml:space="preserve">  Это позитивно но не huge — leverage важен для усиления returns.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2">
      <c r="B2" s="1" t="inlineStr">
        <is>
          <t>CAPITALIPLY + NAVIDIUM — ROLL-UP STRATEGY MODEL</t>
        </is>
      </c>
    </row>
    <row r="3">
      <c r="B3" s="2" t="inlineStr">
        <is>
          <t>100% FCF reinvested into M&amp;A | New debt @ 12% | Debt cap 3.0× / 3.5× / 4.0× EBITDA</t>
        </is>
      </c>
    </row>
    <row r="4">
      <c r="B4" s="19" t="inlineStr">
        <is>
          <t>Independent Consultant Analysis — May 2026</t>
        </is>
      </c>
    </row>
    <row r="6" ht="22" customHeight="1">
      <c r="B6" s="3" t="inlineStr">
        <is>
          <t>KEY ASSUMPTIONS (blue = input, edit to flex)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8">
      <c r="C8" s="10" t="inlineStr">
        <is>
          <t>STARTING STATE (post-Navidium acquisition, entering 2026)</t>
        </is>
      </c>
    </row>
    <row r="9">
      <c r="C9" t="inlineStr">
        <is>
          <t xml:space="preserve">  Combined EBITDA — 2026E Base ($)</t>
        </is>
      </c>
      <c r="D9" s="20" t="n">
        <v>830000</v>
      </c>
    </row>
    <row r="10">
      <c r="C10" t="inlineStr">
        <is>
          <t xml:space="preserve">  Combined Revenue — 2026E net ($)</t>
        </is>
      </c>
      <c r="D10" s="20" t="n">
        <v>2320000</v>
      </c>
    </row>
    <row r="11">
      <c r="C11" t="inlineStr">
        <is>
          <t xml:space="preserve">  Starting debt ($)</t>
        </is>
      </c>
      <c r="D11" s="20" t="n">
        <v>2940000</v>
      </c>
    </row>
    <row r="12">
      <c r="C12" t="inlineStr">
        <is>
          <t xml:space="preserve">  Starting Net Debt / EBITDA</t>
        </is>
      </c>
      <c r="D12" s="21">
        <f>D11/D9</f>
        <v/>
      </c>
    </row>
    <row r="14">
      <c r="C14" s="10" t="inlineStr">
        <is>
          <t>ROLL-UP ENGINE PARAMETERS</t>
        </is>
      </c>
    </row>
    <row r="15">
      <c r="C15" t="inlineStr">
        <is>
          <t xml:space="preserve">  Acquisition multiple (× EBITDA paid)</t>
        </is>
      </c>
      <c r="D15" s="22" t="n">
        <v>5.5</v>
      </c>
    </row>
    <row r="16">
      <c r="C16" t="inlineStr">
        <is>
          <t xml:space="preserve">  Synergies uplift on acquired EBITDA (Y1)</t>
        </is>
      </c>
      <c r="D16" s="23" t="n">
        <v>0.1</v>
      </c>
    </row>
    <row r="17">
      <c r="C17" t="inlineStr">
        <is>
          <t xml:space="preserve">  Synergies uplift on acquired EBITDA (Y2+)</t>
        </is>
      </c>
      <c r="D17" s="23" t="n">
        <v>0.05</v>
      </c>
    </row>
    <row r="18">
      <c r="C18" t="inlineStr">
        <is>
          <t xml:space="preserve">  Cost of new debt (annual)</t>
        </is>
      </c>
      <c r="D18" s="23" t="n">
        <v>0.12</v>
      </c>
    </row>
    <row r="19">
      <c r="C19" t="inlineStr">
        <is>
          <t xml:space="preserve">  Blended rate on existing debt</t>
        </is>
      </c>
      <c r="D19" s="23" t="n">
        <v>0.105</v>
      </c>
    </row>
    <row r="20">
      <c r="C20" t="inlineStr">
        <is>
          <t xml:space="preserve">  Effective tax rate</t>
        </is>
      </c>
      <c r="D20" s="23" t="n">
        <v>0.21</v>
      </c>
    </row>
    <row r="21">
      <c r="C21" t="inlineStr">
        <is>
          <t xml:space="preserve">  Capex / maintenance ($/yr)</t>
        </is>
      </c>
      <c r="D21" s="20" t="n">
        <v>40000</v>
      </c>
    </row>
    <row r="22">
      <c r="C22" t="inlineStr">
        <is>
          <t xml:space="preserve">  Principal amort on amortizing debt</t>
        </is>
      </c>
      <c r="D22" s="23" t="n">
        <v>0.1</v>
      </c>
    </row>
    <row r="23">
      <c r="C23" t="inlineStr">
        <is>
          <t xml:space="preserve">  % of debt that is amortizing (vs IO/bullet)</t>
        </is>
      </c>
      <c r="D23" s="23" t="n">
        <v>0.5</v>
      </c>
    </row>
    <row r="25">
      <c r="C25" s="10" t="inlineStr">
        <is>
          <t>ORGANIC GROWTH ON EXISTING BASE</t>
        </is>
      </c>
    </row>
    <row r="26">
      <c r="C26" s="10" t="inlineStr">
        <is>
          <t xml:space="preserve">  Year</t>
        </is>
      </c>
      <c r="D26" s="10" t="inlineStr">
        <is>
          <t>2027F</t>
        </is>
      </c>
      <c r="E26" s="10" t="inlineStr">
        <is>
          <t>2028F</t>
        </is>
      </c>
      <c r="F26" s="10" t="inlineStr">
        <is>
          <t>2029F</t>
        </is>
      </c>
      <c r="G26" s="10" t="inlineStr">
        <is>
          <t>2030F</t>
        </is>
      </c>
      <c r="H26" s="10" t="inlineStr">
        <is>
          <t>2031F</t>
        </is>
      </c>
    </row>
    <row r="27">
      <c r="C27" t="inlineStr">
        <is>
          <t xml:space="preserve">  Organic EBITDA growth %</t>
        </is>
      </c>
      <c r="D27" s="23" t="n">
        <v>0.07000000000000001</v>
      </c>
      <c r="E27" s="23" t="n">
        <v>0.06</v>
      </c>
      <c r="F27" s="23" t="n">
        <v>0.05</v>
      </c>
      <c r="G27" s="23" t="n">
        <v>0.04</v>
      </c>
      <c r="H27" s="23" t="n">
        <v>0.03</v>
      </c>
    </row>
    <row r="28">
      <c r="C28" t="inlineStr">
        <is>
          <t xml:space="preserve">  Revenue/EBITDA multiplier (rev grows in line)</t>
        </is>
      </c>
      <c r="D28" s="22" t="n">
        <v>1</v>
      </c>
    </row>
    <row r="30">
      <c r="C30" s="10" t="inlineStr">
        <is>
          <t>EXIT ASSUMPTIONS</t>
        </is>
      </c>
    </row>
    <row r="31">
      <c r="C31" t="inlineStr">
        <is>
          <t xml:space="preserve">  Exit EBITDA multiple (2030F)</t>
        </is>
      </c>
      <c r="D31" s="22" t="n">
        <v>8</v>
      </c>
    </row>
    <row r="32">
      <c r="C32" t="inlineStr">
        <is>
          <t xml:space="preserve">  Initial equity invested ($)</t>
        </is>
      </c>
      <c r="D32" s="20" t="n">
        <v>2500000</v>
      </c>
    </row>
    <row r="34">
      <c r="C34" s="10" t="inlineStr">
        <is>
          <t>DEBT CAP SCENARIOS</t>
        </is>
      </c>
    </row>
    <row r="35">
      <c r="C35" t="inlineStr">
        <is>
          <t xml:space="preserve">  Conservative cap (× EBITDA)</t>
        </is>
      </c>
      <c r="D35" s="22" t="n">
        <v>3</v>
      </c>
    </row>
    <row r="36">
      <c r="C36" t="inlineStr">
        <is>
          <t xml:space="preserve">  Moderate cap (× EBITDA)</t>
        </is>
      </c>
      <c r="D36" s="22" t="n">
        <v>3.5</v>
      </c>
    </row>
    <row r="37">
      <c r="C37" t="inlineStr">
        <is>
          <t xml:space="preserve">  Aggressive cap (× EBITDA)</t>
        </is>
      </c>
      <c r="D37" s="2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4" t="inlineStr">
        <is>
          <t>ROLL-UP ENGINE — 3.0× cap</t>
        </is>
      </c>
    </row>
    <row r="3">
      <c r="B3" s="2" t="inlineStr">
        <is>
          <t>Acquisition multiple 5.5× | New debt @ 12% | 100% FCF reinvested</t>
        </is>
      </c>
    </row>
    <row r="5" ht="22" customHeight="1">
      <c r="B5" s="3" t="inlineStr">
        <is>
          <t>Year-by-year build (3.0×)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C6" s="5" t="inlineStr">
        <is>
          <t>YEAR</t>
        </is>
      </c>
      <c r="D6" s="6" t="inlineStr">
        <is>
          <t>2026E</t>
        </is>
      </c>
      <c r="E6" s="6" t="inlineStr">
        <is>
          <t>2027F</t>
        </is>
      </c>
      <c r="F6" s="6" t="inlineStr">
        <is>
          <t>2028F</t>
        </is>
      </c>
      <c r="G6" s="6" t="inlineStr">
        <is>
          <t>2029F</t>
        </is>
      </c>
      <c r="H6" s="6" t="inlineStr">
        <is>
          <t>2030F</t>
        </is>
      </c>
      <c r="I6" s="6" t="inlineStr">
        <is>
          <t>2031F</t>
        </is>
      </c>
    </row>
    <row r="7">
      <c r="C7" s="25" t="inlineStr">
        <is>
          <t>OPENING STATE</t>
        </is>
      </c>
    </row>
    <row r="8">
      <c r="C8" t="inlineStr">
        <is>
          <t xml:space="preserve">  Opening EBITDA ($)</t>
        </is>
      </c>
      <c r="D8" s="26" t="n">
        <v>830000</v>
      </c>
      <c r="E8" s="26" t="n">
        <v>938010.5780000001</v>
      </c>
      <c r="F8" s="26" t="n">
        <v>1072547.175145986</v>
      </c>
      <c r="G8" s="26" t="n">
        <v>1340156.090554289</v>
      </c>
      <c r="H8" s="26" t="n">
        <v>1727187.948447512</v>
      </c>
      <c r="I8" s="26" t="n">
        <v>2238469.000419016</v>
      </c>
    </row>
    <row r="9">
      <c r="C9" t="inlineStr">
        <is>
          <t xml:space="preserve">  Opening Revenue ($)</t>
        </is>
      </c>
      <c r="D9" s="26" t="n">
        <v>2320000</v>
      </c>
      <c r="E9" s="26" t="n">
        <v>2621909.085493976</v>
      </c>
      <c r="F9" s="26" t="n">
        <v>2992036.71913752</v>
      </c>
      <c r="G9" s="26" t="n">
        <v>3736852.694317812</v>
      </c>
      <c r="H9" s="26" t="n">
        <v>4802304.997421944</v>
      </c>
      <c r="I9" s="26" t="n">
        <v>6217306.194712656</v>
      </c>
    </row>
    <row r="10">
      <c r="C10" t="inlineStr">
        <is>
          <t xml:space="preserve">  Opening Debt ($)</t>
        </is>
      </c>
      <c r="D10" s="26" t="n">
        <v>2940000</v>
      </c>
      <c r="E10" s="26" t="n">
        <v>2793000</v>
      </c>
      <c r="F10" s="26" t="n">
        <v>2674381.734</v>
      </c>
      <c r="G10" s="26" t="n">
        <v>3083922.438737957</v>
      </c>
      <c r="H10" s="26" t="n">
        <v>3873468.271662868</v>
      </c>
      <c r="I10" s="26" t="n">
        <v>5034563.845342537</v>
      </c>
    </row>
    <row r="11">
      <c r="C11" t="inlineStr">
        <is>
          <t xml:space="preserve">  Debt / EBITDA</t>
        </is>
      </c>
      <c r="D11" s="27" t="n">
        <v>3.542168674698795</v>
      </c>
      <c r="E11" s="27" t="n">
        <v>2.97757836159498</v>
      </c>
      <c r="F11" s="27" t="n">
        <v>2.493486343513037</v>
      </c>
      <c r="G11" s="27" t="n">
        <v>2.30116660325921</v>
      </c>
      <c r="H11" s="27" t="n">
        <v>2.242644337082449</v>
      </c>
      <c r="I11" s="27" t="n">
        <v>2.249110371597786</v>
      </c>
    </row>
    <row r="12">
      <c r="C12" s="25" t="inlineStr">
        <is>
          <t>DEBT CAPACITY</t>
        </is>
      </c>
    </row>
    <row r="13">
      <c r="C13" t="inlineStr">
        <is>
          <t xml:space="preserve">  Max debt allowed @ 3.0×</t>
        </is>
      </c>
      <c r="D13" s="26" t="n">
        <v>2490000</v>
      </c>
      <c r="E13" s="26" t="n">
        <v>2814031.734</v>
      </c>
      <c r="F13" s="26" t="n">
        <v>3217641.525437957</v>
      </c>
      <c r="G13" s="26" t="n">
        <v>4020468.271662868</v>
      </c>
      <c r="H13" s="26" t="n">
        <v>5181563.845342537</v>
      </c>
      <c r="I13" s="26" t="n">
        <v>6715407.001257048</v>
      </c>
    </row>
    <row r="14">
      <c r="C14" s="28" t="inlineStr">
        <is>
          <t xml:space="preserve">  Incremental debt headroom</t>
        </is>
      </c>
      <c r="D14" s="29" t="n">
        <v>0</v>
      </c>
      <c r="E14" s="29" t="n">
        <v>21031.73400000017</v>
      </c>
      <c r="F14" s="29" t="n">
        <v>543259.7914379565</v>
      </c>
      <c r="G14" s="29" t="n">
        <v>936545.8329249108</v>
      </c>
      <c r="H14" s="29" t="n">
        <v>1308095.57367967</v>
      </c>
      <c r="I14" s="29" t="n">
        <v>1680843.155914511</v>
      </c>
    </row>
    <row r="15">
      <c r="C15" s="25" t="inlineStr">
        <is>
          <t>DEBT SERVICE</t>
        </is>
      </c>
    </row>
    <row r="16">
      <c r="C16" t="inlineStr">
        <is>
          <t xml:space="preserve">  Interest expense (blended)</t>
        </is>
      </c>
      <c r="D16" s="26" t="n">
        <v>308700</v>
      </c>
      <c r="E16" s="26" t="n">
        <v>293265</v>
      </c>
      <c r="F16" s="26" t="n">
        <v>280810.08207</v>
      </c>
      <c r="G16" s="26" t="n">
        <v>325970.6926485548</v>
      </c>
      <c r="H16" s="26" t="n">
        <v>420716.1925995441</v>
      </c>
      <c r="I16" s="26" t="n">
        <v>560047.6614411045</v>
      </c>
    </row>
    <row r="17">
      <c r="C17" t="inlineStr">
        <is>
          <t xml:space="preserve">  Principal amortization</t>
        </is>
      </c>
      <c r="D17" s="26" t="n">
        <v>147000</v>
      </c>
      <c r="E17" s="26" t="n">
        <v>139650</v>
      </c>
      <c r="F17" s="26" t="n">
        <v>133719.0867</v>
      </c>
      <c r="G17" s="26" t="n">
        <v>147000</v>
      </c>
      <c r="H17" s="26" t="n">
        <v>147000</v>
      </c>
      <c r="I17" s="26" t="n">
        <v>147000</v>
      </c>
    </row>
    <row r="18">
      <c r="C18" s="25" t="inlineStr">
        <is>
          <t>FREE CASH FLOW</t>
        </is>
      </c>
    </row>
    <row r="19">
      <c r="C19" t="inlineStr">
        <is>
          <t xml:space="preserve">  Tax @ 21%</t>
        </is>
      </c>
      <c r="D19" s="26" t="n">
        <v>101073</v>
      </c>
      <c r="E19" s="26" t="n">
        <v>126996.57138</v>
      </c>
      <c r="F19" s="26" t="n">
        <v>157864.789545957</v>
      </c>
      <c r="G19" s="26" t="n">
        <v>204578.9335602042</v>
      </c>
      <c r="H19" s="26" t="n">
        <v>265959.0687280733</v>
      </c>
      <c r="I19" s="26" t="n">
        <v>344068.4811853614</v>
      </c>
    </row>
    <row r="20">
      <c r="C20" t="inlineStr">
        <is>
          <t xml:space="preserve">  Capex</t>
        </is>
      </c>
      <c r="D20" s="26" t="n">
        <v>40000</v>
      </c>
      <c r="E20" s="26" t="n">
        <v>40000</v>
      </c>
      <c r="F20" s="26" t="n">
        <v>40000</v>
      </c>
      <c r="G20" s="26" t="n">
        <v>40000</v>
      </c>
      <c r="H20" s="26" t="n">
        <v>40000</v>
      </c>
      <c r="I20" s="26" t="n">
        <v>40000</v>
      </c>
    </row>
    <row r="21">
      <c r="C21" s="10" t="inlineStr">
        <is>
          <t xml:space="preserve">  FCF after debt service</t>
        </is>
      </c>
      <c r="D21" s="30" t="n">
        <v>233227</v>
      </c>
      <c r="E21" s="30" t="n">
        <v>338099.0066200001</v>
      </c>
      <c r="F21" s="30" t="n">
        <v>460153.2168300286</v>
      </c>
      <c r="G21" s="30" t="n">
        <v>622606.4643455303</v>
      </c>
      <c r="H21" s="30" t="n">
        <v>853512.6871198951</v>
      </c>
      <c r="I21" s="30" t="n">
        <v>1147352.85779255</v>
      </c>
    </row>
    <row r="22">
      <c r="C22" s="28" t="inlineStr">
        <is>
          <t xml:space="preserve">  FCF available for M&amp;A</t>
        </is>
      </c>
      <c r="D22" s="29" t="n">
        <v>233227</v>
      </c>
      <c r="E22" s="29" t="n">
        <v>338099.0066200001</v>
      </c>
      <c r="F22" s="29" t="n">
        <v>460153.2168300286</v>
      </c>
      <c r="G22" s="29" t="n">
        <v>622606.4643455303</v>
      </c>
      <c r="H22" s="29" t="n">
        <v>853512.6871198951</v>
      </c>
      <c r="I22" s="29" t="n">
        <v>1147352.85779255</v>
      </c>
    </row>
    <row r="23">
      <c r="C23" s="25" t="inlineStr">
        <is>
          <t>M&amp;A FIREPOWER &amp; ACQUISITIONS</t>
        </is>
      </c>
    </row>
    <row r="24">
      <c r="C24" s="8" t="inlineStr">
        <is>
          <t xml:space="preserve">  Total firepower (FCF + new debt)</t>
        </is>
      </c>
      <c r="D24" s="31" t="n">
        <v>233227</v>
      </c>
      <c r="E24" s="31" t="n">
        <v>359130.7406200003</v>
      </c>
      <c r="F24" s="31" t="n">
        <v>1003413.008267985</v>
      </c>
      <c r="G24" s="31" t="n">
        <v>1559152.297270441</v>
      </c>
      <c r="H24" s="31" t="n">
        <v>2161608.260799565</v>
      </c>
      <c r="I24" s="31" t="n">
        <v>2828196.013707061</v>
      </c>
    </row>
    <row r="25">
      <c r="C25" t="inlineStr">
        <is>
          <t xml:space="preserve">  EBITDA acquired @ 5.5×</t>
        </is>
      </c>
      <c r="D25" s="26" t="n">
        <v>42404.90909090909</v>
      </c>
      <c r="E25" s="26" t="n">
        <v>65296.4982945455</v>
      </c>
      <c r="F25" s="26" t="n">
        <v>182438.7287759973</v>
      </c>
      <c r="G25" s="26" t="n">
        <v>283482.2358673529</v>
      </c>
      <c r="H25" s="26" t="n">
        <v>393019.6837817391</v>
      </c>
      <c r="I25" s="26" t="n">
        <v>514217.4570376474</v>
      </c>
    </row>
    <row r="26">
      <c r="C26" s="10" t="inlineStr">
        <is>
          <t xml:space="preserve">  EBITDA acquired + Y1 synergies (+10%)</t>
        </is>
      </c>
      <c r="D26" s="30" t="n">
        <v>46645.4</v>
      </c>
      <c r="E26" s="30" t="n">
        <v>71826.14812400006</v>
      </c>
      <c r="F26" s="30" t="n">
        <v>200682.6016535971</v>
      </c>
      <c r="G26" s="30" t="n">
        <v>311830.4594540882</v>
      </c>
      <c r="H26" s="30" t="n">
        <v>432321.652159913</v>
      </c>
      <c r="I26" s="30" t="n">
        <v>565639.2027414122</v>
      </c>
    </row>
    <row r="27">
      <c r="C27" s="25" t="inlineStr">
        <is>
          <t>CLOSING POSITION (= opening of next year)</t>
        </is>
      </c>
    </row>
    <row r="28">
      <c r="C28" s="10" t="inlineStr">
        <is>
          <t xml:space="preserve">  Closing EBITDA</t>
        </is>
      </c>
      <c r="D28" s="31" t="n">
        <v>938010.5780000001</v>
      </c>
      <c r="E28" s="31" t="n">
        <v>1072547.175145986</v>
      </c>
      <c r="F28" s="31" t="n">
        <v>1340156.090554289</v>
      </c>
      <c r="G28" s="31" t="n">
        <v>1727187.948447512</v>
      </c>
      <c r="H28" s="31" t="n">
        <v>2238469.000419016</v>
      </c>
      <c r="I28" s="31" t="n">
        <v>2871262.273172999</v>
      </c>
    </row>
    <row r="29">
      <c r="C29" s="10" t="inlineStr">
        <is>
          <t xml:space="preserve">  Closing Revenue</t>
        </is>
      </c>
      <c r="D29" s="26" t="n">
        <v>2621909.085493976</v>
      </c>
      <c r="E29" s="26" t="n">
        <v>2992036.71913752</v>
      </c>
      <c r="F29" s="26" t="n">
        <v>3736852.694317812</v>
      </c>
      <c r="G29" s="26" t="n">
        <v>4802304.997421944</v>
      </c>
      <c r="H29" s="26" t="n">
        <v>6217306.194712656</v>
      </c>
      <c r="I29" s="26" t="n">
        <v>8025696.956338985</v>
      </c>
    </row>
    <row r="30">
      <c r="C30" s="10" t="inlineStr">
        <is>
          <t xml:space="preserve">  Closing Debt</t>
        </is>
      </c>
      <c r="D30" s="26" t="n">
        <v>2793000</v>
      </c>
      <c r="E30" s="26" t="n">
        <v>2674381.734</v>
      </c>
      <c r="F30" s="26" t="n">
        <v>3083922.438737957</v>
      </c>
      <c r="G30" s="26" t="n">
        <v>3873468.271662868</v>
      </c>
      <c r="H30" s="26" t="n">
        <v>5034563.845342537</v>
      </c>
      <c r="I30" s="26" t="n">
        <v>6568407.001257048</v>
      </c>
    </row>
    <row r="31">
      <c r="C31" s="10" t="inlineStr">
        <is>
          <t xml:space="preserve">  Closing Debt / EBITDA</t>
        </is>
      </c>
      <c r="D31" s="32" t="n">
        <v>2.97757836159498</v>
      </c>
      <c r="E31" s="32" t="n">
        <v>2.493486343513037</v>
      </c>
      <c r="F31" s="32" t="n">
        <v>2.30116660325921</v>
      </c>
      <c r="G31" s="32" t="n">
        <v>2.242644337082449</v>
      </c>
      <c r="H31" s="32" t="n">
        <v>2.249110371597786</v>
      </c>
      <c r="I31" s="32" t="n">
        <v>2.28763741390938</v>
      </c>
    </row>
    <row r="33">
      <c r="C33" s="5" t="inlineStr">
        <is>
          <t>EXIT VALUATION (2030F)</t>
        </is>
      </c>
    </row>
    <row r="34">
      <c r="C34" s="10" t="inlineStr">
        <is>
          <t xml:space="preserve">  2030F EBITDA</t>
        </is>
      </c>
      <c r="D34" s="31" t="n">
        <v>2238469.000419016</v>
      </c>
    </row>
    <row r="35">
      <c r="C35" s="10" t="inlineStr">
        <is>
          <t xml:space="preserve">  Exit EV @ 8.0× EBITDA</t>
        </is>
      </c>
      <c r="D35" s="31" t="n">
        <v>17907752.00335213</v>
      </c>
    </row>
    <row r="36">
      <c r="C36" t="inlineStr">
        <is>
          <t xml:space="preserve">  Less: 2030 net debt</t>
        </is>
      </c>
      <c r="D36" s="26" t="n">
        <v>-5034563.845342537</v>
      </c>
    </row>
    <row r="37">
      <c r="C37" s="10" t="inlineStr">
        <is>
          <t xml:space="preserve">  Equity value at exit</t>
        </is>
      </c>
      <c r="D37" s="33" t="n">
        <v>12873188.15800959</v>
      </c>
    </row>
    <row r="38">
      <c r="C38" t="inlineStr">
        <is>
          <t xml:space="preserve">  Initial equity invested</t>
        </is>
      </c>
      <c r="D38" s="26" t="n">
        <v>2500000</v>
      </c>
    </row>
    <row r="39">
      <c r="C39" s="10" t="inlineStr">
        <is>
          <t xml:space="preserve">  MoIC (multiple of invested capital)</t>
        </is>
      </c>
      <c r="D39" s="34" t="n">
        <v>5.149275263203836</v>
      </c>
    </row>
    <row r="40">
      <c r="C40" s="10" t="inlineStr">
        <is>
          <t xml:space="preserve">  IRR (5 years)</t>
        </is>
      </c>
      <c r="D40" s="35" t="n">
        <v>0.3878713852065263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4" t="inlineStr">
        <is>
          <t>ROLL-UP ENGINE — 3.5× cap</t>
        </is>
      </c>
    </row>
    <row r="3">
      <c r="B3" s="2" t="inlineStr">
        <is>
          <t>Acquisition multiple 5.5× | New debt @ 12% | 100% FCF reinvested</t>
        </is>
      </c>
    </row>
    <row r="5" ht="22" customHeight="1">
      <c r="B5" s="3" t="inlineStr">
        <is>
          <t>Year-by-year build (3.5×)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C6" s="5" t="inlineStr">
        <is>
          <t>YEAR</t>
        </is>
      </c>
      <c r="D6" s="6" t="inlineStr">
        <is>
          <t>2026E</t>
        </is>
      </c>
      <c r="E6" s="6" t="inlineStr">
        <is>
          <t>2027F</t>
        </is>
      </c>
      <c r="F6" s="6" t="inlineStr">
        <is>
          <t>2028F</t>
        </is>
      </c>
      <c r="G6" s="6" t="inlineStr">
        <is>
          <t>2029F</t>
        </is>
      </c>
      <c r="H6" s="6" t="inlineStr">
        <is>
          <t>2030F</t>
        </is>
      </c>
      <c r="I6" s="6" t="inlineStr">
        <is>
          <t>2031F</t>
        </is>
      </c>
    </row>
    <row r="7">
      <c r="C7" s="25" t="inlineStr">
        <is>
          <t>OPENING STATE</t>
        </is>
      </c>
    </row>
    <row r="8">
      <c r="C8" t="inlineStr">
        <is>
          <t xml:space="preserve">  Opening EBITDA ($)</t>
        </is>
      </c>
      <c r="D8" s="26" t="n">
        <v>830000</v>
      </c>
      <c r="E8" s="26" t="n">
        <v>938010.5780000001</v>
      </c>
      <c r="F8" s="26" t="n">
        <v>1171976.296413986</v>
      </c>
      <c r="G8" s="26" t="n">
        <v>1541057.432350343</v>
      </c>
      <c r="H8" s="26" t="n">
        <v>2060421.313404377</v>
      </c>
      <c r="I8" s="26" t="n">
        <v>2749645.845862657</v>
      </c>
    </row>
    <row r="9">
      <c r="C9" t="inlineStr">
        <is>
          <t xml:space="preserve">  Opening Revenue ($)</t>
        </is>
      </c>
      <c r="D9" s="26" t="n">
        <v>2320000</v>
      </c>
      <c r="E9" s="26" t="n">
        <v>2621909.085493976</v>
      </c>
      <c r="F9" s="26" t="n">
        <v>3269959.082199882</v>
      </c>
      <c r="G9" s="26" t="n">
        <v>4286490.483538763</v>
      </c>
      <c r="H9" s="26" t="n">
        <v>5722591.466369097</v>
      </c>
      <c r="I9" s="26" t="n">
        <v>7631440.801006393</v>
      </c>
    </row>
    <row r="10">
      <c r="C10" t="inlineStr">
        <is>
          <t xml:space="preserve">  Opening Debt ($)</t>
        </is>
      </c>
      <c r="D10" s="26" t="n">
        <v>2940000</v>
      </c>
      <c r="E10" s="26" t="n">
        <v>2793000</v>
      </c>
      <c r="F10" s="26" t="n">
        <v>3143387.023000001</v>
      </c>
      <c r="G10" s="26" t="n">
        <v>3954917.03744895</v>
      </c>
      <c r="H10" s="26" t="n">
        <v>5246701.013226199</v>
      </c>
      <c r="I10" s="26" t="n">
        <v>7064474.59691532</v>
      </c>
    </row>
    <row r="11">
      <c r="C11" t="inlineStr">
        <is>
          <t xml:space="preserve">  Debt / EBITDA</t>
        </is>
      </c>
      <c r="D11" s="27" t="n">
        <v>3.542168674698795</v>
      </c>
      <c r="E11" s="27" t="n">
        <v>2.97757836159498</v>
      </c>
      <c r="F11" s="27" t="n">
        <v>2.682125084456178</v>
      </c>
      <c r="G11" s="27" t="n">
        <v>2.566365765756771</v>
      </c>
      <c r="H11" s="27" t="n">
        <v>2.546421442591865</v>
      </c>
      <c r="I11" s="27" t="n">
        <v>2.569230727493546</v>
      </c>
    </row>
    <row r="12">
      <c r="C12" s="25" t="inlineStr">
        <is>
          <t>DEBT CAPACITY</t>
        </is>
      </c>
    </row>
    <row r="13">
      <c r="C13" t="inlineStr">
        <is>
          <t xml:space="preserve">  Max debt allowed @ 3.5×</t>
        </is>
      </c>
      <c r="D13" s="26" t="n">
        <v>2905000</v>
      </c>
      <c r="E13" s="26" t="n">
        <v>3283037.023000001</v>
      </c>
      <c r="F13" s="26" t="n">
        <v>4101917.03744895</v>
      </c>
      <c r="G13" s="26" t="n">
        <v>5393701.013226199</v>
      </c>
      <c r="H13" s="26" t="n">
        <v>7211474.59691532</v>
      </c>
      <c r="I13" s="26" t="n">
        <v>9623760.460519301</v>
      </c>
    </row>
    <row r="14">
      <c r="C14" s="28" t="inlineStr">
        <is>
          <t xml:space="preserve">  Incremental debt headroom</t>
        </is>
      </c>
      <c r="D14" s="29" t="n">
        <v>0</v>
      </c>
      <c r="E14" s="29" t="n">
        <v>490037.0230000005</v>
      </c>
      <c r="F14" s="29" t="n">
        <v>958530.0144489496</v>
      </c>
      <c r="G14" s="29" t="n">
        <v>1438783.975777249</v>
      </c>
      <c r="H14" s="29" t="n">
        <v>1964773.583689122</v>
      </c>
      <c r="I14" s="29" t="n">
        <v>2559285.86360398</v>
      </c>
    </row>
    <row r="15">
      <c r="C15" s="25" t="inlineStr">
        <is>
          <t>DEBT SERVICE</t>
        </is>
      </c>
    </row>
    <row r="16">
      <c r="C16" t="inlineStr">
        <is>
          <t xml:space="preserve">  Interest expense (blended)</t>
        </is>
      </c>
      <c r="D16" s="26" t="n">
        <v>308700</v>
      </c>
      <c r="E16" s="26" t="n">
        <v>293265</v>
      </c>
      <c r="F16" s="26" t="n">
        <v>333106.4427600001</v>
      </c>
      <c r="G16" s="26" t="n">
        <v>430490.044493874</v>
      </c>
      <c r="H16" s="26" t="n">
        <v>585504.1215871439</v>
      </c>
      <c r="I16" s="26" t="n">
        <v>803636.9516298384</v>
      </c>
    </row>
    <row r="17">
      <c r="C17" t="inlineStr">
        <is>
          <t xml:space="preserve">  Principal amortization</t>
        </is>
      </c>
      <c r="D17" s="26" t="n">
        <v>147000</v>
      </c>
      <c r="E17" s="26" t="n">
        <v>139650</v>
      </c>
      <c r="F17" s="26" t="n">
        <v>147000</v>
      </c>
      <c r="G17" s="26" t="n">
        <v>147000</v>
      </c>
      <c r="H17" s="26" t="n">
        <v>147000</v>
      </c>
      <c r="I17" s="26" t="n">
        <v>147000</v>
      </c>
    </row>
    <row r="18">
      <c r="C18" s="25" t="inlineStr">
        <is>
          <t>FREE CASH FLOW</t>
        </is>
      </c>
    </row>
    <row r="19">
      <c r="C19" t="inlineStr">
        <is>
          <t xml:space="preserve">  Tax @ 21%</t>
        </is>
      </c>
      <c r="D19" s="26" t="n">
        <v>101073</v>
      </c>
      <c r="E19" s="26" t="n">
        <v>126996.57138</v>
      </c>
      <c r="F19" s="26" t="n">
        <v>167762.669267337</v>
      </c>
      <c r="G19" s="26" t="n">
        <v>224819.1514498584</v>
      </c>
      <c r="H19" s="26" t="n">
        <v>301332.610281619</v>
      </c>
      <c r="I19" s="26" t="n">
        <v>400261.8677888919</v>
      </c>
    </row>
    <row r="20">
      <c r="C20" t="inlineStr">
        <is>
          <t xml:space="preserve">  Capex</t>
        </is>
      </c>
      <c r="D20" s="26" t="n">
        <v>40000</v>
      </c>
      <c r="E20" s="26" t="n">
        <v>40000</v>
      </c>
      <c r="F20" s="26" t="n">
        <v>40000</v>
      </c>
      <c r="G20" s="26" t="n">
        <v>40000</v>
      </c>
      <c r="H20" s="26" t="n">
        <v>40000</v>
      </c>
      <c r="I20" s="26" t="n">
        <v>40000</v>
      </c>
    </row>
    <row r="21">
      <c r="C21" s="10" t="inlineStr">
        <is>
          <t xml:space="preserve">  FCF after debt service</t>
        </is>
      </c>
      <c r="D21" s="30" t="n">
        <v>233227</v>
      </c>
      <c r="E21" s="30" t="n">
        <v>338099.0066200001</v>
      </c>
      <c r="F21" s="30" t="n">
        <v>484107.1843866487</v>
      </c>
      <c r="G21" s="30" t="n">
        <v>698748.2364066101</v>
      </c>
      <c r="H21" s="30" t="n">
        <v>986584.5815356143</v>
      </c>
      <c r="I21" s="30" t="n">
        <v>1358747.026443927</v>
      </c>
    </row>
    <row r="22">
      <c r="C22" s="28" t="inlineStr">
        <is>
          <t xml:space="preserve">  FCF available for M&amp;A</t>
        </is>
      </c>
      <c r="D22" s="29" t="n">
        <v>233227</v>
      </c>
      <c r="E22" s="29" t="n">
        <v>338099.0066200001</v>
      </c>
      <c r="F22" s="29" t="n">
        <v>484107.1843866487</v>
      </c>
      <c r="G22" s="29" t="n">
        <v>698748.2364066101</v>
      </c>
      <c r="H22" s="29" t="n">
        <v>986584.5815356143</v>
      </c>
      <c r="I22" s="29" t="n">
        <v>1358747.026443927</v>
      </c>
    </row>
    <row r="23">
      <c r="C23" s="25" t="inlineStr">
        <is>
          <t>M&amp;A FIREPOWER &amp; ACQUISITIONS</t>
        </is>
      </c>
    </row>
    <row r="24">
      <c r="C24" s="8" t="inlineStr">
        <is>
          <t xml:space="preserve">  Total firepower (FCF + new debt)</t>
        </is>
      </c>
      <c r="D24" s="31" t="n">
        <v>233227</v>
      </c>
      <c r="E24" s="31" t="n">
        <v>828136.0296200006</v>
      </c>
      <c r="F24" s="31" t="n">
        <v>1442637.198835598</v>
      </c>
      <c r="G24" s="31" t="n">
        <v>2137532.212183859</v>
      </c>
      <c r="H24" s="31" t="n">
        <v>2951358.165224736</v>
      </c>
      <c r="I24" s="31" t="n">
        <v>3918032.890047907</v>
      </c>
    </row>
    <row r="25">
      <c r="C25" t="inlineStr">
        <is>
          <t xml:space="preserve">  EBITDA acquired @ 5.5×</t>
        </is>
      </c>
      <c r="D25" s="26" t="n">
        <v>42404.90909090909</v>
      </c>
      <c r="E25" s="26" t="n">
        <v>150570.1872036365</v>
      </c>
      <c r="F25" s="26" t="n">
        <v>262297.6725155633</v>
      </c>
      <c r="G25" s="26" t="n">
        <v>388642.2203970653</v>
      </c>
      <c r="H25" s="26" t="n">
        <v>536610.5754954065</v>
      </c>
      <c r="I25" s="26" t="n">
        <v>712369.6163723468</v>
      </c>
    </row>
    <row r="26">
      <c r="C26" s="10" t="inlineStr">
        <is>
          <t xml:space="preserve">  EBITDA acquired + Y1 synergies (+10%)</t>
        </is>
      </c>
      <c r="D26" s="30" t="n">
        <v>46645.4</v>
      </c>
      <c r="E26" s="30" t="n">
        <v>165627.2059240002</v>
      </c>
      <c r="F26" s="30" t="n">
        <v>288527.4397671196</v>
      </c>
      <c r="G26" s="30" t="n">
        <v>427506.4424367719</v>
      </c>
      <c r="H26" s="30" t="n">
        <v>590271.6330449472</v>
      </c>
      <c r="I26" s="30" t="n">
        <v>783606.5780095815</v>
      </c>
    </row>
    <row r="27">
      <c r="C27" s="25" t="inlineStr">
        <is>
          <t>CLOSING POSITION (= opening of next year)</t>
        </is>
      </c>
    </row>
    <row r="28">
      <c r="C28" s="10" t="inlineStr">
        <is>
          <t xml:space="preserve">  Closing EBITDA</t>
        </is>
      </c>
      <c r="D28" s="31" t="n">
        <v>938010.5780000001</v>
      </c>
      <c r="E28" s="31" t="n">
        <v>1171976.296413986</v>
      </c>
      <c r="F28" s="31" t="n">
        <v>1541057.432350343</v>
      </c>
      <c r="G28" s="31" t="n">
        <v>2060421.313404377</v>
      </c>
      <c r="H28" s="31" t="n">
        <v>2749645.845862657</v>
      </c>
      <c r="I28" s="31" t="n">
        <v>3615741.799248119</v>
      </c>
    </row>
    <row r="29">
      <c r="C29" s="10" t="inlineStr">
        <is>
          <t xml:space="preserve">  Closing Revenue</t>
        </is>
      </c>
      <c r="D29" s="26" t="n">
        <v>2621909.085493976</v>
      </c>
      <c r="E29" s="26" t="n">
        <v>3269959.082199882</v>
      </c>
      <c r="F29" s="26" t="n">
        <v>4286490.483538763</v>
      </c>
      <c r="G29" s="26" t="n">
        <v>5722591.466369097</v>
      </c>
      <c r="H29" s="26" t="n">
        <v>7631440.801006393</v>
      </c>
      <c r="I29" s="26" t="n">
        <v>10106651.77621161</v>
      </c>
    </row>
    <row r="30">
      <c r="C30" s="10" t="inlineStr">
        <is>
          <t xml:space="preserve">  Closing Debt</t>
        </is>
      </c>
      <c r="D30" s="26" t="n">
        <v>2793000</v>
      </c>
      <c r="E30" s="26" t="n">
        <v>3143387.023000001</v>
      </c>
      <c r="F30" s="26" t="n">
        <v>3954917.03744895</v>
      </c>
      <c r="G30" s="26" t="n">
        <v>5246701.013226199</v>
      </c>
      <c r="H30" s="26" t="n">
        <v>7064474.59691532</v>
      </c>
      <c r="I30" s="26" t="n">
        <v>9476760.460519301</v>
      </c>
    </row>
    <row r="31">
      <c r="C31" s="10" t="inlineStr">
        <is>
          <t xml:space="preserve">  Closing Debt / EBITDA</t>
        </is>
      </c>
      <c r="D31" s="32" t="n">
        <v>2.97757836159498</v>
      </c>
      <c r="E31" s="32" t="n">
        <v>2.682125084456178</v>
      </c>
      <c r="F31" s="32" t="n">
        <v>2.566365765756771</v>
      </c>
      <c r="G31" s="32" t="n">
        <v>2.546421442591865</v>
      </c>
      <c r="H31" s="32" t="n">
        <v>2.569230727493546</v>
      </c>
      <c r="I31" s="32" t="n">
        <v>2.62097267633711</v>
      </c>
    </row>
    <row r="33">
      <c r="C33" s="5" t="inlineStr">
        <is>
          <t>EXIT VALUATION (2030F)</t>
        </is>
      </c>
    </row>
    <row r="34">
      <c r="C34" s="10" t="inlineStr">
        <is>
          <t xml:space="preserve">  2030F EBITDA</t>
        </is>
      </c>
      <c r="D34" s="31" t="n">
        <v>2749645.845862657</v>
      </c>
    </row>
    <row r="35">
      <c r="C35" s="10" t="inlineStr">
        <is>
          <t xml:space="preserve">  Exit EV @ 8.0× EBITDA</t>
        </is>
      </c>
      <c r="D35" s="31" t="n">
        <v>21997166.76690126</v>
      </c>
    </row>
    <row r="36">
      <c r="C36" t="inlineStr">
        <is>
          <t xml:space="preserve">  Less: 2030 net debt</t>
        </is>
      </c>
      <c r="D36" s="26" t="n">
        <v>-7064474.59691532</v>
      </c>
    </row>
    <row r="37">
      <c r="C37" s="10" t="inlineStr">
        <is>
          <t xml:space="preserve">  Equity value at exit</t>
        </is>
      </c>
      <c r="D37" s="33" t="n">
        <v>14932692.16998594</v>
      </c>
    </row>
    <row r="38">
      <c r="C38" t="inlineStr">
        <is>
          <t xml:space="preserve">  Initial equity invested</t>
        </is>
      </c>
      <c r="D38" s="26" t="n">
        <v>2500000</v>
      </c>
    </row>
    <row r="39">
      <c r="C39" s="10" t="inlineStr">
        <is>
          <t xml:space="preserve">  MoIC (multiple of invested capital)</t>
        </is>
      </c>
      <c r="D39" s="34" t="n">
        <v>5.973076867994376</v>
      </c>
    </row>
    <row r="40">
      <c r="C40" s="10" t="inlineStr">
        <is>
          <t xml:space="preserve">  IRR (5 years)</t>
        </is>
      </c>
      <c r="D40" s="35" t="n">
        <v>0.4296825642418443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4" t="inlineStr">
        <is>
          <t>ROLL-UP ENGINE — 4.0× cap</t>
        </is>
      </c>
    </row>
    <row r="3">
      <c r="B3" s="2" t="inlineStr">
        <is>
          <t>Acquisition multiple 5.5× | New debt @ 12% | 100% FCF reinvested</t>
        </is>
      </c>
    </row>
    <row r="5" ht="22" customHeight="1">
      <c r="B5" s="3" t="inlineStr">
        <is>
          <t>Year-by-year build (4.0×)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C6" s="5" t="inlineStr">
        <is>
          <t>YEAR</t>
        </is>
      </c>
      <c r="D6" s="6" t="inlineStr">
        <is>
          <t>2026E</t>
        </is>
      </c>
      <c r="E6" s="6" t="inlineStr">
        <is>
          <t>2027F</t>
        </is>
      </c>
      <c r="F6" s="6" t="inlineStr">
        <is>
          <t>2028F</t>
        </is>
      </c>
      <c r="G6" s="6" t="inlineStr">
        <is>
          <t>2029F</t>
        </is>
      </c>
      <c r="H6" s="6" t="inlineStr">
        <is>
          <t>2030F</t>
        </is>
      </c>
      <c r="I6" s="6" t="inlineStr">
        <is>
          <t>2031F</t>
        </is>
      </c>
    </row>
    <row r="7">
      <c r="C7" s="25" t="inlineStr">
        <is>
          <t>OPENING STATE</t>
        </is>
      </c>
    </row>
    <row r="8">
      <c r="C8" t="inlineStr">
        <is>
          <t xml:space="preserve">  Opening EBITDA ($)</t>
        </is>
      </c>
      <c r="D8" s="26" t="n">
        <v>830000</v>
      </c>
      <c r="E8" s="26" t="n">
        <v>1019330.578</v>
      </c>
      <c r="F8" s="26" t="n">
        <v>1354252.002136532</v>
      </c>
      <c r="G8" s="26" t="n">
        <v>1861904.630618108</v>
      </c>
      <c r="H8" s="26" t="n">
        <v>2580000.732482014</v>
      </c>
      <c r="I8" s="26" t="n">
        <v>3554395.789439382</v>
      </c>
    </row>
    <row r="9">
      <c r="C9" t="inlineStr">
        <is>
          <t xml:space="preserve">  Opening Revenue ($)</t>
        </is>
      </c>
      <c r="D9" s="26" t="n">
        <v>2320000</v>
      </c>
      <c r="E9" s="26" t="n">
        <v>2849213.181879519</v>
      </c>
      <c r="F9" s="26" t="n">
        <v>3769796.542226099</v>
      </c>
      <c r="G9" s="26" t="n">
        <v>5172214.538165858</v>
      </c>
      <c r="H9" s="26" t="n">
        <v>7159725.607140407</v>
      </c>
      <c r="I9" s="26" t="n">
        <v>9858815.336987866</v>
      </c>
    </row>
    <row r="10">
      <c r="C10" t="inlineStr">
        <is>
          <t xml:space="preserve">  Opening Debt ($)</t>
        </is>
      </c>
      <c r="D10" s="26" t="n">
        <v>2940000</v>
      </c>
      <c r="E10" s="26" t="n">
        <v>3173000</v>
      </c>
      <c r="F10" s="26" t="n">
        <v>3930322.312</v>
      </c>
      <c r="G10" s="26" t="n">
        <v>5270008.008546126</v>
      </c>
      <c r="H10" s="26" t="n">
        <v>7300618.522472433</v>
      </c>
      <c r="I10" s="26" t="n">
        <v>10173002.92992806</v>
      </c>
    </row>
    <row r="11">
      <c r="C11" t="inlineStr">
        <is>
          <t xml:space="preserve">  Debt / EBITDA</t>
        </is>
      </c>
      <c r="D11" s="27" t="n">
        <v>3.542168674698795</v>
      </c>
      <c r="E11" s="27" t="n">
        <v>3.112827250042527</v>
      </c>
      <c r="F11" s="27" t="n">
        <v>2.902208972775628</v>
      </c>
      <c r="G11" s="27" t="n">
        <v>2.830439283453851</v>
      </c>
      <c r="H11" s="27" t="n">
        <v>2.829696298360771</v>
      </c>
      <c r="I11" s="27" t="n">
        <v>2.862090642846669</v>
      </c>
    </row>
    <row r="12">
      <c r="C12" s="25" t="inlineStr">
        <is>
          <t>DEBT CAPACITY</t>
        </is>
      </c>
    </row>
    <row r="13">
      <c r="C13" t="inlineStr">
        <is>
          <t xml:space="preserve">  Max debt allowed @ 4.0×</t>
        </is>
      </c>
      <c r="D13" s="26" t="n">
        <v>3320000</v>
      </c>
      <c r="E13" s="26" t="n">
        <v>4077322.312</v>
      </c>
      <c r="F13" s="26" t="n">
        <v>5417008.008546126</v>
      </c>
      <c r="G13" s="26" t="n">
        <v>7447618.522472433</v>
      </c>
      <c r="H13" s="26" t="n">
        <v>10320002.92992806</v>
      </c>
      <c r="I13" s="26" t="n">
        <v>14217583.15775753</v>
      </c>
    </row>
    <row r="14">
      <c r="C14" s="28" t="inlineStr">
        <is>
          <t xml:space="preserve">  Incremental debt headroom</t>
        </is>
      </c>
      <c r="D14" s="29" t="n">
        <v>380000</v>
      </c>
      <c r="E14" s="29" t="n">
        <v>904322.3120000004</v>
      </c>
      <c r="F14" s="29" t="n">
        <v>1486685.696546126</v>
      </c>
      <c r="G14" s="29" t="n">
        <v>2177610.513926307</v>
      </c>
      <c r="H14" s="29" t="n">
        <v>3019384.407455624</v>
      </c>
      <c r="I14" s="29" t="n">
        <v>4044580.227829473</v>
      </c>
    </row>
    <row r="15">
      <c r="C15" s="25" t="inlineStr">
        <is>
          <t>DEBT SERVICE</t>
        </is>
      </c>
    </row>
    <row r="16">
      <c r="C16" t="inlineStr">
        <is>
          <t xml:space="preserve">  Interest expense (blended)</t>
        </is>
      </c>
      <c r="D16" s="26" t="n">
        <v>308700</v>
      </c>
      <c r="E16" s="26" t="n">
        <v>336660</v>
      </c>
      <c r="F16" s="26" t="n">
        <v>427538.6774400001</v>
      </c>
      <c r="G16" s="26" t="n">
        <v>588300.9610255351</v>
      </c>
      <c r="H16" s="26" t="n">
        <v>831974.222696692</v>
      </c>
      <c r="I16" s="26" t="n">
        <v>1176660.351591367</v>
      </c>
    </row>
    <row r="17">
      <c r="C17" t="inlineStr">
        <is>
          <t xml:space="preserve">  Principal amortization</t>
        </is>
      </c>
      <c r="D17" s="26" t="n">
        <v>147000</v>
      </c>
      <c r="E17" s="26" t="n">
        <v>147000</v>
      </c>
      <c r="F17" s="26" t="n">
        <v>147000</v>
      </c>
      <c r="G17" s="26" t="n">
        <v>147000</v>
      </c>
      <c r="H17" s="26" t="n">
        <v>147000</v>
      </c>
      <c r="I17" s="26" t="n">
        <v>147000</v>
      </c>
    </row>
    <row r="18">
      <c r="C18" s="25" t="inlineStr">
        <is>
          <t>FREE CASH FLOW</t>
        </is>
      </c>
    </row>
    <row r="19">
      <c r="C19" t="inlineStr">
        <is>
          <t xml:space="preserve">  Tax @ 21%</t>
        </is>
      </c>
      <c r="D19" s="26" t="n">
        <v>101073</v>
      </c>
      <c r="E19" s="26" t="n">
        <v>134960.82138</v>
      </c>
      <c r="F19" s="26" t="n">
        <v>186209.7981862716</v>
      </c>
      <c r="G19" s="26" t="n">
        <v>259056.7706144403</v>
      </c>
      <c r="H19" s="26" t="n">
        <v>358685.5670549176</v>
      </c>
      <c r="I19" s="26" t="n">
        <v>490924.4419480833</v>
      </c>
    </row>
    <row r="20">
      <c r="C20" t="inlineStr">
        <is>
          <t xml:space="preserve">  Capex</t>
        </is>
      </c>
      <c r="D20" s="26" t="n">
        <v>40000</v>
      </c>
      <c r="E20" s="26" t="n">
        <v>40000</v>
      </c>
      <c r="F20" s="26" t="n">
        <v>40000</v>
      </c>
      <c r="G20" s="26" t="n">
        <v>40000</v>
      </c>
      <c r="H20" s="26" t="n">
        <v>40000</v>
      </c>
      <c r="I20" s="26" t="n">
        <v>40000</v>
      </c>
    </row>
    <row r="21">
      <c r="C21" s="10" t="inlineStr">
        <is>
          <t xml:space="preserve">  FCF after debt service</t>
        </is>
      </c>
      <c r="D21" s="30" t="n">
        <v>233227</v>
      </c>
      <c r="E21" s="30" t="n">
        <v>360709.7566200001</v>
      </c>
      <c r="F21" s="30" t="n">
        <v>553503.5265102598</v>
      </c>
      <c r="G21" s="30" t="n">
        <v>827546.8989781328</v>
      </c>
      <c r="H21" s="30" t="n">
        <v>1202340.942730405</v>
      </c>
      <c r="I21" s="30" t="n">
        <v>1699810.995899932</v>
      </c>
    </row>
    <row r="22">
      <c r="C22" s="28" t="inlineStr">
        <is>
          <t xml:space="preserve">  FCF available for M&amp;A</t>
        </is>
      </c>
      <c r="D22" s="29" t="n">
        <v>233227</v>
      </c>
      <c r="E22" s="29" t="n">
        <v>360709.7566200001</v>
      </c>
      <c r="F22" s="29" t="n">
        <v>553503.5265102598</v>
      </c>
      <c r="G22" s="29" t="n">
        <v>827546.8989781328</v>
      </c>
      <c r="H22" s="29" t="n">
        <v>1202340.942730405</v>
      </c>
      <c r="I22" s="29" t="n">
        <v>1699810.995899932</v>
      </c>
    </row>
    <row r="23">
      <c r="C23" s="25" t="inlineStr">
        <is>
          <t>M&amp;A FIREPOWER &amp; ACQUISITIONS</t>
        </is>
      </c>
    </row>
    <row r="24">
      <c r="C24" s="8" t="inlineStr">
        <is>
          <t xml:space="preserve">  Total firepower (FCF + new debt)</t>
        </is>
      </c>
      <c r="D24" s="31" t="n">
        <v>613227</v>
      </c>
      <c r="E24" s="31" t="n">
        <v>1265032.068620001</v>
      </c>
      <c r="F24" s="31" t="n">
        <v>2040189.223056386</v>
      </c>
      <c r="G24" s="31" t="n">
        <v>3005157.412904439</v>
      </c>
      <c r="H24" s="31" t="n">
        <v>4221725.350186029</v>
      </c>
      <c r="I24" s="31" t="n">
        <v>5744391.223729406</v>
      </c>
    </row>
    <row r="25">
      <c r="C25" t="inlineStr">
        <is>
          <t xml:space="preserve">  EBITDA acquired @ 5.5×</t>
        </is>
      </c>
      <c r="D25" s="26" t="n">
        <v>111495.8181818182</v>
      </c>
      <c r="E25" s="26" t="n">
        <v>230005.8306581819</v>
      </c>
      <c r="F25" s="26" t="n">
        <v>370943.495101161</v>
      </c>
      <c r="G25" s="26" t="n">
        <v>546392.2568917163</v>
      </c>
      <c r="H25" s="26" t="n">
        <v>767586.4273065507</v>
      </c>
      <c r="I25" s="26" t="n">
        <v>1044434.767950801</v>
      </c>
    </row>
    <row r="26">
      <c r="C26" s="10" t="inlineStr">
        <is>
          <t xml:space="preserve">  EBITDA acquired + Y1 synergies (+10%)</t>
        </is>
      </c>
      <c r="D26" s="30" t="n">
        <v>122645.4</v>
      </c>
      <c r="E26" s="30" t="n">
        <v>253006.4137240001</v>
      </c>
      <c r="F26" s="30" t="n">
        <v>408037.8446112772</v>
      </c>
      <c r="G26" s="30" t="n">
        <v>601031.482580888</v>
      </c>
      <c r="H26" s="30" t="n">
        <v>844345.0700372058</v>
      </c>
      <c r="I26" s="30" t="n">
        <v>1148878.244745881</v>
      </c>
    </row>
    <row r="27">
      <c r="C27" s="25" t="inlineStr">
        <is>
          <t>CLOSING POSITION (= opening of next year)</t>
        </is>
      </c>
    </row>
    <row r="28">
      <c r="C28" s="10" t="inlineStr">
        <is>
          <t xml:space="preserve">  Closing EBITDA</t>
        </is>
      </c>
      <c r="D28" s="31" t="n">
        <v>1019330.578</v>
      </c>
      <c r="E28" s="31" t="n">
        <v>1354252.002136532</v>
      </c>
      <c r="F28" s="31" t="n">
        <v>1861904.630618108</v>
      </c>
      <c r="G28" s="31" t="n">
        <v>2580000.732482014</v>
      </c>
      <c r="H28" s="31" t="n">
        <v>3554395.789439382</v>
      </c>
      <c r="I28" s="31" t="n">
        <v>4809905.907868445</v>
      </c>
    </row>
    <row r="29">
      <c r="C29" s="10" t="inlineStr">
        <is>
          <t xml:space="preserve">  Closing Revenue</t>
        </is>
      </c>
      <c r="D29" s="26" t="n">
        <v>2849213.181879519</v>
      </c>
      <c r="E29" s="26" t="n">
        <v>3769796.542226099</v>
      </c>
      <c r="F29" s="26" t="n">
        <v>5172214.538165858</v>
      </c>
      <c r="G29" s="26" t="n">
        <v>7159725.607140407</v>
      </c>
      <c r="H29" s="26" t="n">
        <v>9858815.336987866</v>
      </c>
      <c r="I29" s="26" t="n">
        <v>13444556.27259614</v>
      </c>
    </row>
    <row r="30">
      <c r="C30" s="10" t="inlineStr">
        <is>
          <t xml:space="preserve">  Closing Debt</t>
        </is>
      </c>
      <c r="D30" s="26" t="n">
        <v>3173000</v>
      </c>
      <c r="E30" s="26" t="n">
        <v>3930322.312</v>
      </c>
      <c r="F30" s="26" t="n">
        <v>5270008.008546126</v>
      </c>
      <c r="G30" s="26" t="n">
        <v>7300618.522472433</v>
      </c>
      <c r="H30" s="26" t="n">
        <v>10173002.92992806</v>
      </c>
      <c r="I30" s="26" t="n">
        <v>14070583.15775753</v>
      </c>
    </row>
    <row r="31">
      <c r="C31" s="10" t="inlineStr">
        <is>
          <t xml:space="preserve">  Closing Debt / EBITDA</t>
        </is>
      </c>
      <c r="D31" s="36" t="n">
        <v>3.112827250042527</v>
      </c>
      <c r="E31" s="32" t="n">
        <v>2.902208972775628</v>
      </c>
      <c r="F31" s="32" t="n">
        <v>2.830439283453851</v>
      </c>
      <c r="G31" s="32" t="n">
        <v>2.829696298360771</v>
      </c>
      <c r="H31" s="32" t="n">
        <v>2.862090642846669</v>
      </c>
      <c r="I31" s="32" t="n">
        <v>2.925334388504294</v>
      </c>
    </row>
    <row r="33">
      <c r="C33" s="5" t="inlineStr">
        <is>
          <t>EXIT VALUATION (2030F)</t>
        </is>
      </c>
    </row>
    <row r="34">
      <c r="C34" s="10" t="inlineStr">
        <is>
          <t xml:space="preserve">  2030F EBITDA</t>
        </is>
      </c>
      <c r="D34" s="31" t="n">
        <v>3554395.789439382</v>
      </c>
    </row>
    <row r="35">
      <c r="C35" s="10" t="inlineStr">
        <is>
          <t xml:space="preserve">  Exit EV @ 8.0× EBITDA</t>
        </is>
      </c>
      <c r="D35" s="31" t="n">
        <v>28435166.31551506</v>
      </c>
    </row>
    <row r="36">
      <c r="C36" t="inlineStr">
        <is>
          <t xml:space="preserve">  Less: 2030 net debt</t>
        </is>
      </c>
      <c r="D36" s="26" t="n">
        <v>-10173002.92992806</v>
      </c>
    </row>
    <row r="37">
      <c r="C37" s="10" t="inlineStr">
        <is>
          <t xml:space="preserve">  Equity value at exit</t>
        </is>
      </c>
      <c r="D37" s="33" t="n">
        <v>18262163.385587</v>
      </c>
    </row>
    <row r="38">
      <c r="C38" t="inlineStr">
        <is>
          <t xml:space="preserve">  Initial equity invested</t>
        </is>
      </c>
      <c r="D38" s="26" t="n">
        <v>2500000</v>
      </c>
    </row>
    <row r="39">
      <c r="C39" s="10" t="inlineStr">
        <is>
          <t xml:space="preserve">  MoIC (multiple of invested capital)</t>
        </is>
      </c>
      <c r="D39" s="34" t="n">
        <v>7.304865354234801</v>
      </c>
    </row>
    <row r="40">
      <c r="C40" s="10" t="inlineStr">
        <is>
          <t xml:space="preserve">  IRR (5 years)</t>
        </is>
      </c>
      <c r="D40" s="35" t="n">
        <v>0.4884095334053131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4" t="inlineStr">
        <is>
          <t>SENSITIVITY — Exit Equity Value &amp; IRR</t>
        </is>
      </c>
    </row>
    <row r="3">
      <c r="B3" s="2" t="inlineStr">
        <is>
          <t>Row: Acquisition multiple paid | Col: Debt cap × EBITDA</t>
        </is>
      </c>
    </row>
    <row r="5">
      <c r="C5" s="5" t="inlineStr">
        <is>
          <t>EXIT EQUITY VALUE ($)</t>
        </is>
      </c>
      <c r="D5" s="6" t="inlineStr">
        <is>
          <t>Cap 3.0×</t>
        </is>
      </c>
      <c r="E5" s="6" t="inlineStr">
        <is>
          <t>Cap 3.5×</t>
        </is>
      </c>
      <c r="F5" s="6" t="inlineStr">
        <is>
          <t>Cap 4.0×</t>
        </is>
      </c>
      <c r="G5" s="37" t="inlineStr"/>
    </row>
    <row r="6">
      <c r="C6" s="2" t="inlineStr">
        <is>
          <t>Acq. mult ↓ × Cap →</t>
        </is>
      </c>
    </row>
    <row r="7">
      <c r="C7" s="10" t="inlineStr">
        <is>
          <t>4.5× EBITDA</t>
        </is>
      </c>
      <c r="D7" s="38" t="n">
        <v>22081181.44183604</v>
      </c>
      <c r="E7" s="38" t="n">
        <v>28671698.90596411</v>
      </c>
      <c r="F7" s="38" t="n">
        <v>40527680.42102738</v>
      </c>
    </row>
    <row r="8">
      <c r="C8" s="10" t="inlineStr">
        <is>
          <t>5.0× EBITDA</t>
        </is>
      </c>
      <c r="D8" s="38" t="n">
        <v>18356574.80697885</v>
      </c>
      <c r="E8" s="38" t="n">
        <v>22663672.74135887</v>
      </c>
      <c r="F8" s="38" t="n">
        <v>30003068.44866463</v>
      </c>
    </row>
    <row r="9">
      <c r="C9" s="10" t="inlineStr">
        <is>
          <t>5.5× EBITDA</t>
        </is>
      </c>
      <c r="D9" s="38" t="n">
        <v>15864458.62402638</v>
      </c>
      <c r="E9" s="38" t="n">
        <v>18789258.93045861</v>
      </c>
      <c r="F9" s="38" t="n">
        <v>23555609.11572459</v>
      </c>
    </row>
    <row r="10">
      <c r="C10" s="10" t="inlineStr">
        <is>
          <t>6.0× EBITDA</t>
        </is>
      </c>
      <c r="D10" s="38" t="n">
        <v>14108012.12520526</v>
      </c>
      <c r="E10" s="38" t="n">
        <v>16146996.75965909</v>
      </c>
      <c r="F10" s="38" t="n">
        <v>19351495.80550694</v>
      </c>
    </row>
    <row r="11">
      <c r="C11" s="10" t="inlineStr">
        <is>
          <t>6.5× EBITDA</t>
        </is>
      </c>
      <c r="D11" s="38" t="n">
        <v>12818940.41857496</v>
      </c>
      <c r="E11" s="38" t="n">
        <v>14262019.46394643</v>
      </c>
      <c r="F11" s="38" t="n">
        <v>16467739.36496321</v>
      </c>
    </row>
    <row r="12">
      <c r="C12" s="10" t="inlineStr">
        <is>
          <t>7.0× EBITDA</t>
        </is>
      </c>
      <c r="D12" s="39" t="n">
        <v>11842505.68854669</v>
      </c>
      <c r="E12" s="38" t="n">
        <v>12866850.14329179</v>
      </c>
      <c r="F12" s="38" t="n">
        <v>14405499.02379848</v>
      </c>
    </row>
    <row r="15">
      <c r="C15" s="5" t="inlineStr">
        <is>
          <t>IRR (5-year)</t>
        </is>
      </c>
      <c r="D15" s="6" t="inlineStr">
        <is>
          <t>Cap 3.0×</t>
        </is>
      </c>
      <c r="E15" s="6" t="inlineStr">
        <is>
          <t>Cap 3.5×</t>
        </is>
      </c>
      <c r="F15" s="6" t="inlineStr">
        <is>
          <t>Cap 4.0×</t>
        </is>
      </c>
    </row>
    <row r="16">
      <c r="C16" s="2" t="inlineStr">
        <is>
          <t>Acq. mult ↓ × Cap →</t>
        </is>
      </c>
    </row>
    <row r="17">
      <c r="C17" s="10" t="inlineStr">
        <is>
          <t>4.5× EBITDA</t>
        </is>
      </c>
      <c r="D17" s="40" t="n">
        <v>0.5460248118314781</v>
      </c>
      <c r="E17" s="40" t="n">
        <v>0.6289309825035152</v>
      </c>
      <c r="F17" s="40" t="n">
        <v>0.7456708013950184</v>
      </c>
    </row>
    <row r="18">
      <c r="C18" s="10" t="inlineStr">
        <is>
          <t>5.0× EBITDA</t>
        </is>
      </c>
      <c r="D18" s="40" t="n">
        <v>0.4899453116780874</v>
      </c>
      <c r="E18" s="40" t="n">
        <v>0.5540967647627364</v>
      </c>
      <c r="F18" s="40" t="n">
        <v>0.6437854532623259</v>
      </c>
    </row>
    <row r="19">
      <c r="C19" s="10" t="inlineStr">
        <is>
          <t>5.5× EBITDA</t>
        </is>
      </c>
      <c r="D19" s="40" t="n">
        <v>0.4470950219413816</v>
      </c>
      <c r="E19" s="40" t="n">
        <v>0.4969039298188456</v>
      </c>
      <c r="F19" s="40" t="n">
        <v>0.5661410250870433</v>
      </c>
    </row>
    <row r="20">
      <c r="C20" s="10" t="inlineStr">
        <is>
          <t>6.0× EBITDA</t>
        </is>
      </c>
      <c r="D20" s="40" t="n">
        <v>0.4135304327558067</v>
      </c>
      <c r="E20" s="40" t="n">
        <v>0.4522130993467797</v>
      </c>
      <c r="F20" s="40" t="n">
        <v>0.5057570537071105</v>
      </c>
    </row>
    <row r="21">
      <c r="C21" s="10" t="inlineStr">
        <is>
          <t>6.5× EBITDA</t>
        </is>
      </c>
      <c r="D21" s="40" t="n">
        <v>0.3866997078658909</v>
      </c>
      <c r="E21" s="40" t="n">
        <v>0.4166031501779013</v>
      </c>
      <c r="F21" s="40" t="n">
        <v>0.4579371257527163</v>
      </c>
    </row>
    <row r="22">
      <c r="C22" s="10" t="inlineStr">
        <is>
          <t>7.0× EBITDA</t>
        </is>
      </c>
      <c r="D22" s="40" t="n">
        <v>0.364899638271954</v>
      </c>
      <c r="E22" s="40" t="n">
        <v>0.3877346967343995</v>
      </c>
      <c r="F22" s="40" t="n">
        <v>0.4194420270464245</v>
      </c>
    </row>
    <row r="25">
      <c r="C25" s="5" t="inlineStr">
        <is>
          <t>2030F EBITDA ($)</t>
        </is>
      </c>
      <c r="D25" s="6" t="inlineStr">
        <is>
          <t>Cap 3.0×</t>
        </is>
      </c>
      <c r="E25" s="6" t="inlineStr">
        <is>
          <t>Cap 3.5×</t>
        </is>
      </c>
      <c r="F25" s="6" t="inlineStr">
        <is>
          <t>Cap 4.0×</t>
        </is>
      </c>
    </row>
    <row r="26">
      <c r="C26" s="2" t="inlineStr">
        <is>
          <t>Acq. mult ↓ × Cap →</t>
        </is>
      </c>
    </row>
    <row r="27">
      <c r="C27" s="10" t="inlineStr">
        <is>
          <t>4.5× EBITDA</t>
        </is>
      </c>
      <c r="D27" s="38" t="n">
        <v>3793269.458976293</v>
      </c>
      <c r="E27" s="38" t="n">
        <v>5173350.377452166</v>
      </c>
      <c r="F27" s="38" t="n">
        <v>7644182.513909962</v>
      </c>
    </row>
    <row r="28">
      <c r="C28" s="10" t="inlineStr">
        <is>
          <t>5.0× EBITDA</t>
        </is>
      </c>
      <c r="D28" s="38" t="n">
        <v>3203248.063451623</v>
      </c>
      <c r="E28" s="38" t="n">
        <v>4182517.905126834</v>
      </c>
      <c r="F28" s="38" t="n">
        <v>5835455.433364479</v>
      </c>
    </row>
    <row r="29">
      <c r="C29" s="10" t="inlineStr">
        <is>
          <t>5.5× EBITDA</t>
        </is>
      </c>
      <c r="D29" s="38" t="n">
        <v>2804108.203160428</v>
      </c>
      <c r="E29" s="38" t="n">
        <v>3533252.423872239</v>
      </c>
      <c r="F29" s="38" t="n">
        <v>4703274.034185264</v>
      </c>
    </row>
    <row r="30">
      <c r="C30" s="10" t="inlineStr">
        <is>
          <t>6.0× EBITDA</t>
        </is>
      </c>
      <c r="D30" s="38" t="n">
        <v>2520125.500756131</v>
      </c>
      <c r="E30" s="38" t="n">
        <v>3084235.226327548</v>
      </c>
      <c r="F30" s="38" t="n">
        <v>3950769.302944429</v>
      </c>
    </row>
    <row r="31">
      <c r="C31" s="10" t="inlineStr">
        <is>
          <t>6.5× EBITDA</t>
        </is>
      </c>
      <c r="D31" s="38" t="n">
        <v>2310030.988843086</v>
      </c>
      <c r="E31" s="38" t="n">
        <v>2759966.619142621</v>
      </c>
      <c r="F31" s="38" t="n">
        <v>3425780.055598534</v>
      </c>
    </row>
    <row r="32">
      <c r="C32" s="10" t="inlineStr">
        <is>
          <t>7.0× EBITDA</t>
        </is>
      </c>
      <c r="D32" s="38" t="n">
        <v>2149838.773415903</v>
      </c>
      <c r="E32" s="38" t="n">
        <v>2517370.265741848</v>
      </c>
      <c r="F32" s="38" t="n">
        <v>3044677.491815841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2026-05-19T15:01:56Z</dcterms:created>
  <dcterms:modified xmlns:dcterms="http://purl.org/dc/terms/" xmlns:xsi="http://www.w3.org/2001/XMLSchema-instance" xsi:type="dcterms:W3CDTF">2026-05-19T15:01:56Z</dcterms:modified>
</cp:coreProperties>
</file>