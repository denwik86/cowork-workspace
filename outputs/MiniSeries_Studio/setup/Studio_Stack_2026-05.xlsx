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ck" sheetId="1" state="visible" r:id="rId3"/>
    <sheet name="Budget" sheetId="2" state="visible" r:id="rId4"/>
    <sheet name="Order_of_purchase" sheetId="3" state="visible" r:id="rId5"/>
    <sheet name="Cost_per_epis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<sst xmlns="http://schemas.openxmlformats.org/spreadsheetml/2006/main" count="306" uniqueCount="275">
  <si>
    <t xml:space="preserve">Category</t>
  </si>
  <si>
    <t xml:space="preserve">Tool</t>
  </si>
  <si>
    <t xml:space="preserve">Vendor / Where to buy</t>
  </si>
  <si>
    <t xml:space="preserve">Recommended tier</t>
  </si>
  <si>
    <t xml:space="preserve">Monthly $ (USD)</t>
  </si>
  <si>
    <t xml:space="preserve">Annual $ (USD, billed yearly)</t>
  </si>
  <si>
    <t xml:space="preserve">Priority</t>
  </si>
  <si>
    <t xml:space="preserve">Role in the pipeline</t>
  </si>
  <si>
    <t xml:space="preserve">URL</t>
  </si>
  <si>
    <t xml:space="preserve">Notes</t>
  </si>
  <si>
    <t xml:space="preserve">1. Identity &amp; Foundation</t>
  </si>
  <si>
    <t xml:space="preserve">Domain</t>
  </si>
  <si>
    <t xml:space="preserve">Cloudflare Registrar (or Namecheap)</t>
  </si>
  <si>
    <t xml:space="preserve">cloudflare.com / namecheap.com</t>
  </si>
  <si>
    <t xml:space="preserve">Studio domain (.com or .studio)</t>
  </si>
  <si>
    <t xml:space="preserve">Must</t>
  </si>
  <si>
    <t xml:space="preserve">Brand domain for studio + per-series subdomains/emails</t>
  </si>
  <si>
    <t xml:space="preserve">https://www.cloudflare.com/products/registrar/</t>
  </si>
  <si>
    <t xml:space="preserve">Cloudflare sells at cost. Buy ONE studio domain; create email aliases per series.</t>
  </si>
  <si>
    <t xml:space="preserve">Email</t>
  </si>
  <si>
    <t xml:space="preserve">Google Workspace</t>
  </si>
  <si>
    <t xml:space="preserve">workspace.google.com</t>
  </si>
  <si>
    <t xml:space="preserve">Business Starter</t>
  </si>
  <si>
    <t xml:space="preserve">Studio email + per-series aliases for account registrations</t>
  </si>
  <si>
    <t xml:space="preserve">https://workspace.google.com/pricing.html</t>
  </si>
  <si>
    <t xml:space="preserve">One mailbox is enough — use aliases s1@, s2@, s3@, s4@. Real domain emails get fewer platform blocks.</t>
  </si>
  <si>
    <t xml:space="preserve">Password / 2FA</t>
  </si>
  <si>
    <t xml:space="preserve">1Password</t>
  </si>
  <si>
    <t xml:space="preserve">1password.com</t>
  </si>
  <si>
    <t xml:space="preserve">Individual or Teams</t>
  </si>
  <si>
    <t xml:space="preserve">Store every account, API key, recovery code, 2FA seed</t>
  </si>
  <si>
    <t xml:space="preserve">https://1password.com/sign-up</t>
  </si>
  <si>
    <t xml:space="preserve">Alternative: Bitwarden free. With 12+ accounts and API tokens, a manager is non-negotiable.</t>
  </si>
  <si>
    <t xml:space="preserve">Phone verification</t>
  </si>
  <si>
    <t xml:space="preserve">Physical SIM (KPN, Vodafone, Lebara NL)</t>
  </si>
  <si>
    <t xml:space="preserve">Local carrier</t>
  </si>
  <si>
    <t xml:space="preserve">Cheap data SIM</t>
  </si>
  <si>
    <t xml:space="preserve">Verify TikTok / Meta / YouTube accounts. Virtual numbers get rejected often.</t>
  </si>
  <si>
    <t xml:space="preserve">n/a</t>
  </si>
  <si>
    <t xml:space="preserve">One physical SIM works for all accounts via SMS rotation.</t>
  </si>
  <si>
    <t xml:space="preserve">2. AI Video Generation</t>
  </si>
  <si>
    <t xml:space="preserve">Video (multi-model hub)</t>
  </si>
  <si>
    <t xml:space="preserve">Runway</t>
  </si>
  <si>
    <t xml:space="preserve">runwayml.com</t>
  </si>
  <si>
    <t xml:space="preserve">Pro ($35/mo or $28/mo annual)</t>
  </si>
  <si>
    <t xml:space="preserve">Primary generator. Pro plan now includes Gen-4.5 + Veo 3.1 + Kling 3.0 Pro in one UI. Character lock via reference for S1/S2.</t>
  </si>
  <si>
    <t xml:space="preserve">https://runwayml.com/pricing</t>
  </si>
  <si>
    <t xml:space="preserve">BIG CHANGE 2026: Runway bundles Veo 3.1 + Kling 3.0 — no need for separate subs at MVP volume. Move up to Unlimited ($76/mo annual) when sustaining &gt;2 episodes/day.</t>
  </si>
  <si>
    <t xml:space="preserve">Talking-head lip-sync</t>
  </si>
  <si>
    <t xml:space="preserve">Hedra (Character-3)</t>
  </si>
  <si>
    <t xml:space="preserve">hedra.com</t>
  </si>
  <si>
    <t xml:space="preserve">Creator / Pro</t>
  </si>
  <si>
    <t xml:space="preserve">Should</t>
  </si>
  <si>
    <t xml:space="preserve">Intimate talking-head moments in S4 UNSENT and direct-camera POV shots in S3</t>
  </si>
  <si>
    <t xml:space="preserve">https://www.hedra.com/pricing</t>
  </si>
  <si>
    <t xml:space="preserve">Add only when episodes need precise lip-sync to recorded VO. Skip if Veo 3.1 native audio is sufficient.</t>
  </si>
  <si>
    <t xml:space="preserve">Direct API access (volume tier)</t>
  </si>
  <si>
    <t xml:space="preserve">Google Veo via Vertex AI</t>
  </si>
  <si>
    <t xml:space="preserve">cloud.google.com/vertex-ai</t>
  </si>
  <si>
    <t xml:space="preserve">Pay-as-you-go API</t>
  </si>
  <si>
    <t xml:space="preserve">Nice</t>
  </si>
  <si>
    <t xml:space="preserve">Direct API when you outgrow Runway credits. $0.40–$0.75 per second of video.</t>
  </si>
  <si>
    <t xml:space="preserve">https://cloud.google.com/vertex-ai/pricing</t>
  </si>
  <si>
    <t xml:space="preserve">Skip until volume justifies. $300 free credits on new GCP account ≈ 6,000 seconds of Veo 3.1 Lite.</t>
  </si>
  <si>
    <t xml:space="preserve">Upscale &amp; cleanup</t>
  </si>
  <si>
    <t xml:space="preserve">Topaz Video AI</t>
  </si>
  <si>
    <t xml:space="preserve">topazlabs.com</t>
  </si>
  <si>
    <t xml:space="preserve">Perpetual license + 1y updates</t>
  </si>
  <si>
    <t xml:space="preserve">Upscale to 4K, denoise, stabilize. One-time purchase, no subscription.</t>
  </si>
  <si>
    <t xml:space="preserve">https://www.topazlabs.com/topaz-video-ai</t>
  </si>
  <si>
    <t xml:space="preserve">One-time $299 covers a year of updates. Buy once and use across all 4 series.</t>
  </si>
  <si>
    <t xml:space="preserve">3. AI Voice &amp; Music</t>
  </si>
  <si>
    <t xml:space="preserve">Voice cloning + TTS</t>
  </si>
  <si>
    <t xml:space="preserve">ElevenLabs</t>
  </si>
  <si>
    <t xml:space="preserve">elevenlabs.io</t>
  </si>
  <si>
    <t xml:space="preserve">Creator ($22/mo)</t>
  </si>
  <si>
    <t xml:space="preserve">Voice acting for all 4 series. Instant voice clone, multi-language dubbing, commercial rights.</t>
  </si>
  <si>
    <t xml:space="preserve">https://elevenlabs.io/pricing</t>
  </si>
  <si>
    <t xml:space="preserve">Creator tier required for instant cloning. Pro ($99) only if you need &gt;100k chars/mo or dubbing studio.</t>
  </si>
  <si>
    <t xml:space="preserve">AI music</t>
  </si>
  <si>
    <t xml:space="preserve">Suno Pro</t>
  </si>
  <si>
    <t xml:space="preserve">suno.com</t>
  </si>
  <si>
    <t xml:space="preserve">Pro ($10/mo)</t>
  </si>
  <si>
    <t xml:space="preserve">Original score per episode. Commercial-use included on Pro.</t>
  </si>
  <si>
    <t xml:space="preserve">https://suno.com/pricing</t>
  </si>
  <si>
    <t xml:space="preserve">Caveat: copyright lawsuits still pending May 2026 — keep proof of paid sub for indemnification, and avoid prompts that ape named artists.</t>
  </si>
  <si>
    <t xml:space="preserve">Music alternative</t>
  </si>
  <si>
    <t xml:space="preserve">Udio Standard</t>
  </si>
  <si>
    <t xml:space="preserve">udio.com</t>
  </si>
  <si>
    <t xml:space="preserve">Standard</t>
  </si>
  <si>
    <t xml:space="preserve">Backup music generator. Some genres work better than Suno.</t>
  </si>
  <si>
    <t xml:space="preserve">https://www.udio.com/pricing</t>
  </si>
  <si>
    <t xml:space="preserve">Optional second source. Pick one to start.</t>
  </si>
  <si>
    <t xml:space="preserve">Licensed SFX + beds</t>
  </si>
  <si>
    <t xml:space="preserve">Epidemic Sound</t>
  </si>
  <si>
    <t xml:space="preserve">epidemicsound.com</t>
  </si>
  <si>
    <t xml:space="preserve">Personal $9/mo or Commercial $19/mo</t>
  </si>
  <si>
    <t xml:space="preserve">Licensed SFX, atmos beds, transitions. Safer than AI music for monetization on YouTube.</t>
  </si>
  <si>
    <t xml:space="preserve">https://www.epidemicsound.com/pricing/</t>
  </si>
  <si>
    <t xml:space="preserve">Commercial plan needed for monetized YouTube + brand deals. The 2026 wildlife/ambient library is strong for horror.</t>
  </si>
  <si>
    <t xml:space="preserve">4. AI Images &amp; Thumbnails</t>
  </si>
  <si>
    <t xml:space="preserve">Stills &amp; key art</t>
  </si>
  <si>
    <t xml:space="preserve">Midjourney</t>
  </si>
  <si>
    <t xml:space="preserve">midjourney.com</t>
  </si>
  <si>
    <t xml:space="preserve">Standard ($30/mo or $24/mo annual)</t>
  </si>
  <si>
    <t xml:space="preserve">Thumbnails, key art, reference stills for video character lock, posters</t>
  </si>
  <si>
    <t xml:space="preserve">https://docs.midjourney.com/docs/plans</t>
  </si>
  <si>
    <t xml:space="preserve">Standard gives unlimited Relax mode generations — plenty for daily thumbnails.</t>
  </si>
  <si>
    <t xml:space="preserve">Stills alternative</t>
  </si>
  <si>
    <t xml:space="preserve">Flux Pro (via fal.ai or Replicate)</t>
  </si>
  <si>
    <t xml:space="preserve">fal.ai</t>
  </si>
  <si>
    <t xml:space="preserve">Pay-per-generation</t>
  </si>
  <si>
    <t xml:space="preserve">Photorealistic stills, often beats MJ for face consistency</t>
  </si>
  <si>
    <t xml:space="preserve">https://fal.ai/pricing</t>
  </si>
  <si>
    <t xml:space="preserve">API only. ~$0.05 per image. Useful for batch reference generation.</t>
  </si>
  <si>
    <t xml:space="preserve">5. Writing &amp; Reasoning</t>
  </si>
  <si>
    <t xml:space="preserve">Scripts + planning + analyst</t>
  </si>
  <si>
    <t xml:space="preserve">Claude Pro</t>
  </si>
  <si>
    <t xml:space="preserve">claude.com</t>
  </si>
  <si>
    <t xml:space="preserve">Pro ($20/mo) — or Max for heavy use</t>
  </si>
  <si>
    <t xml:space="preserve">Script drafts, hook A/B variants, daily brief, analytics summaries</t>
  </si>
  <si>
    <t xml:space="preserve">https://www.anthropic.com/pricing</t>
  </si>
  <si>
    <t xml:space="preserve">Already in use via Cowork. Max ($100/mo) only if hitting limits.</t>
  </si>
  <si>
    <t xml:space="preserve">Backup LLM</t>
  </si>
  <si>
    <t xml:space="preserve">ChatGPT Plus or Gemini Advanced</t>
  </si>
  <si>
    <t xml:space="preserve">openai.com / gemini.google.com</t>
  </si>
  <si>
    <t xml:space="preserve">Plus ($20/mo)</t>
  </si>
  <si>
    <t xml:space="preserve">Second opinion + image gen variants (DALL·E, Imagen)</t>
  </si>
  <si>
    <t xml:space="preserve">https://openai.com/chatgpt/pricing/</t>
  </si>
  <si>
    <t xml:space="preserve">One backup is enough. Pick the one whose image model you prefer.</t>
  </si>
  <si>
    <t xml:space="preserve">6. Editing &amp; Finishing</t>
  </si>
  <si>
    <t xml:space="preserve">Vertical-native editor</t>
  </si>
  <si>
    <t xml:space="preserve">CapCut Pro</t>
  </si>
  <si>
    <t xml:space="preserve">capcut.com</t>
  </si>
  <si>
    <t xml:space="preserve">Pro ($7.99/mo or $74.99/yr)</t>
  </si>
  <si>
    <t xml:space="preserve">Final cut, captions, beats, hook overlays. Native 9:16 templates.</t>
  </si>
  <si>
    <t xml:space="preserve">https://www.capcut.com/pricing</t>
  </si>
  <si>
    <t xml:space="preserve">Fastest path for short-form. Use for episode assembly.</t>
  </si>
  <si>
    <t xml:space="preserve">Color + finishing</t>
  </si>
  <si>
    <t xml:space="preserve">DaVinci Resolve Studio</t>
  </si>
  <si>
    <t xml:space="preserve">blackmagicdesign.com</t>
  </si>
  <si>
    <t xml:space="preserve">Perpetual license</t>
  </si>
  <si>
    <t xml:space="preserve">Color grading, advanced VFX, audio post. One-time purchase.</t>
  </si>
  <si>
    <t xml:space="preserve">https://www.blackmagicdesign.com/products/davinciresolve</t>
  </si>
  <si>
    <t xml:space="preserve">Free version covers 95% of needs; Studio adds neural engine, noise reduction. Buy once.</t>
  </si>
  <si>
    <t xml:space="preserve">7. Storage &amp; Project Management</t>
  </si>
  <si>
    <t xml:space="preserve">Master asset storage</t>
  </si>
  <si>
    <t xml:space="preserve">Google Drive (via Workspace)</t>
  </si>
  <si>
    <t xml:space="preserve">Business Standard upgrade if needed</t>
  </si>
  <si>
    <t xml:space="preserve">Master files per series, exports, raw generations</t>
  </si>
  <si>
    <t xml:space="preserve">Business Starter gives 30GB/user. Upgrade to Standard ($14/mo) for 2TB when needed.</t>
  </si>
  <si>
    <t xml:space="preserve">Review &amp; feedback</t>
  </si>
  <si>
    <t xml:space="preserve">Frame.io</t>
  </si>
  <si>
    <t xml:space="preserve">frame.io</t>
  </si>
  <si>
    <t xml:space="preserve">Free or Pro $15/mo</t>
  </si>
  <si>
    <t xml:space="preserve">Time-coded comments on cuts before publishing</t>
  </si>
  <si>
    <t xml:space="preserve">https://www.frame.io/pricing</t>
  </si>
  <si>
    <t xml:space="preserve">Free tier is fine for solo. Pay only when collaborators arrive.</t>
  </si>
  <si>
    <t xml:space="preserve">Production board</t>
  </si>
  <si>
    <t xml:space="preserve">Notion</t>
  </si>
  <si>
    <t xml:space="preserve">notion.so</t>
  </si>
  <si>
    <t xml:space="preserve">Plus ($10/mo)</t>
  </si>
  <si>
    <t xml:space="preserve">Series board: scripts → storyboard → generation → cut → posted. Token registry.</t>
  </si>
  <si>
    <t xml:space="preserve">https://www.notion.com/pricing</t>
  </si>
  <si>
    <t xml:space="preserve">Free works solo; Plus only when collaborators arrive.</t>
  </si>
  <si>
    <t xml:space="preserve">8. Posting, Scheduling &amp; Analytics</t>
  </si>
  <si>
    <t xml:space="preserve">Multi-platform scheduler</t>
  </si>
  <si>
    <t xml:space="preserve">Metricool</t>
  </si>
  <si>
    <t xml:space="preserve">metricool.com</t>
  </si>
  <si>
    <t xml:space="preserve">Starter ($22/mo) or Advanced ($54/mo)</t>
  </si>
  <si>
    <t xml:space="preserve">Schedule TikTok + YT Shorts + Reels from one dashboard, with analytics built in. Skips Meta API verification pain.</t>
  </si>
  <si>
    <t xml:space="preserve">https://metricool.com/pricing/</t>
  </si>
  <si>
    <t xml:space="preserve">Best price/feature ratio in 2026. Alternative: Publer (cheaper, $12/mo) or Buffer ($15/mo).</t>
  </si>
  <si>
    <t xml:space="preserve">TikTok trend research</t>
  </si>
  <si>
    <t xml:space="preserve">TikTok Creative Center</t>
  </si>
  <si>
    <t xml:space="preserve">ads.tiktok.com/business/creativecenter</t>
  </si>
  <si>
    <t xml:space="preserve">Free</t>
  </si>
  <si>
    <t xml:space="preserve">Hooks, songs, hashtags by region/day. Daily input to brief.</t>
  </si>
  <si>
    <t xml:space="preserve">https://ads.tiktok.com/business/creativecenter/</t>
  </si>
  <si>
    <t xml:space="preserve">Free with any TikTok account.</t>
  </si>
  <si>
    <t xml:space="preserve">9. Scale-up extras (Phase 2)</t>
  </si>
  <si>
    <t xml:space="preserve">AI super-stack</t>
  </si>
  <si>
    <t xml:space="preserve">Google AI Ultra (incl. Veo 3.1 generous quota + Gemini Advanced + 2TB)</t>
  </si>
  <si>
    <t xml:space="preserve">one.google.com/about/ai-premium</t>
  </si>
  <si>
    <t xml:space="preserve">Ultra (~$125/mo, was $250 in 2025)</t>
  </si>
  <si>
    <t xml:space="preserve">Heavy-volume Veo 3.1 access without Vertex billing hassle, plus Gemini + storage in one plan</t>
  </si>
  <si>
    <t xml:space="preserve">https://one.google.com/about/ai-premium</t>
  </si>
  <si>
    <t xml:space="preserve">Only worth it when you're generating &gt;100 minutes of Veo per month.</t>
  </si>
  <si>
    <t xml:space="preserve">Boost ads</t>
  </si>
  <si>
    <t xml:space="preserve">TikTok Promote + YouTube Promotions</t>
  </si>
  <si>
    <t xml:space="preserve">Inside each platform</t>
  </si>
  <si>
    <t xml:space="preserve">Pay-as-you-go</t>
  </si>
  <si>
    <t xml:space="preserve">Boost the top-performing organic episode each week</t>
  </si>
  <si>
    <t xml:space="preserve">https://ads.tiktok.com/</t>
  </si>
  <si>
    <t xml:space="preserve">Plan ~$50/series/week starting month 2 for organic-winners only. Never boost a flop.</t>
  </si>
  <si>
    <t xml:space="preserve">Phased monthly subscription budget (USD)</t>
  </si>
  <si>
    <t xml:space="preserve">Phase 1 — MVP launch stack (must-haves only)</t>
  </si>
  <si>
    <t xml:space="preserve">Monthly</t>
  </si>
  <si>
    <t xml:space="preserve">Annual (billed yearly)</t>
  </si>
  <si>
    <t xml:space="preserve">Domain (Cloudflare)</t>
  </si>
  <si>
    <t xml:space="preserve">Google Workspace — Business Starter</t>
  </si>
  <si>
    <t xml:space="preserve">1Password — Individual</t>
  </si>
  <si>
    <t xml:space="preserve">SIM data plan</t>
  </si>
  <si>
    <t xml:space="preserve">Runway Pro</t>
  </si>
  <si>
    <t xml:space="preserve">ElevenLabs Creator</t>
  </si>
  <si>
    <t xml:space="preserve">Epidemic Sound Commercial</t>
  </si>
  <si>
    <t xml:space="preserve">Midjourney Standard</t>
  </si>
  <si>
    <t xml:space="preserve">Notion Plus</t>
  </si>
  <si>
    <t xml:space="preserve">Metricool Starter</t>
  </si>
  <si>
    <t xml:space="preserve">Phase 1 TOTAL</t>
  </si>
  <si>
    <t xml:space="preserve">Phase 2 — Scale add-ons (when &gt;2 episodes/day)</t>
  </si>
  <si>
    <t xml:space="preserve">Annual</t>
  </si>
  <si>
    <t xml:space="preserve">Runway Unlimited (upgrade from Pro)</t>
  </si>
  <si>
    <t xml:space="preserve">Hedra Pro (lip-sync)</t>
  </si>
  <si>
    <t xml:space="preserve">Topaz Video AI (one-time, annualized)</t>
  </si>
  <si>
    <t xml:space="preserve">DaVinci Resolve Studio (one-time, annualized)</t>
  </si>
  <si>
    <t xml:space="preserve">Google AI Ultra (Veo 3.1 quota)</t>
  </si>
  <si>
    <t xml:space="preserve">Boost ads budget (across 4 series)</t>
  </si>
  <si>
    <t xml:space="preserve">Phase 2 ADD-ONS TOTAL</t>
  </si>
  <si>
    <t xml:space="preserve">COMBINED (Phase 1 + Phase 2)</t>
  </si>
  <si>
    <t xml:space="preserve">Day</t>
  </si>
  <si>
    <t xml:space="preserve">What to buy / sign up</t>
  </si>
  <si>
    <t xml:space="preserve">Why this order</t>
  </si>
  <si>
    <t xml:space="preserve">Time needed</t>
  </si>
  <si>
    <t xml:space="preserve">Day 1 — AM</t>
  </si>
  <si>
    <t xml:space="preserve">Domain (Cloudflare) + Google Workspace + 1Password</t>
  </si>
  <si>
    <t xml:space="preserve">Real email addresses unlock everything else cleanly. Don't register a single platform account before this.</t>
  </si>
  <si>
    <t xml:space="preserve">1 hour</t>
  </si>
  <si>
    <t xml:space="preserve">Day 1 — PM</t>
  </si>
  <si>
    <t xml:space="preserve">SIM data plan + 1Password seeding 2FA</t>
  </si>
  <si>
    <t xml:space="preserve">All future verifications go through this number and vault.</t>
  </si>
  <si>
    <t xml:space="preserve">30 min</t>
  </si>
  <si>
    <t xml:space="preserve">Day 2</t>
  </si>
  <si>
    <t xml:space="preserve">TikTok Business + YouTube Brand + Instagram Business accounts (x4 series)</t>
  </si>
  <si>
    <t xml:space="preserve">Use freshly created emails. Upload 1 placeholder video per channel to unlock API eligibility.</t>
  </si>
  <si>
    <t xml:space="preserve">3–4 hours</t>
  </si>
  <si>
    <t xml:space="preserve">Claude Pro + Notion Plus</t>
  </si>
  <si>
    <t xml:space="preserve">Get your daily brief + production board running immediately.</t>
  </si>
  <si>
    <t xml:space="preserve">20 min</t>
  </si>
  <si>
    <t xml:space="preserve">Day 3</t>
  </si>
  <si>
    <t xml:space="preserve">Runway Pro + ElevenLabs Creator + Midjourney Standard</t>
  </si>
  <si>
    <t xml:space="preserve">Core generation trio. Test outputs on each series before moving on.</t>
  </si>
  <si>
    <t xml:space="preserve">1 hour signup + test</t>
  </si>
  <si>
    <t xml:space="preserve">Day 4</t>
  </si>
  <si>
    <t xml:space="preserve">Suno Pro + Epidemic Sound Commercial + CapCut Pro</t>
  </si>
  <si>
    <t xml:space="preserve">Audio + final cut chain. Now you can assemble a full episode end-to-end.</t>
  </si>
  <si>
    <t xml:space="preserve">Day 5</t>
  </si>
  <si>
    <t xml:space="preserve">Metricool Starter (or chosen scheduler)</t>
  </si>
  <si>
    <t xml:space="preserve">Connect all 12 social accounts to one dashboard. Test a draft post.</t>
  </si>
  <si>
    <t xml:space="preserve">Day 6–14</t>
  </si>
  <si>
    <t xml:space="preserve">TikTok Developer + YouTube Data API + Meta Developer apps</t>
  </si>
  <si>
    <t xml:space="preserve">File API access requests now — approvals take 1–4 weeks. Use Metricool meanwhile.</t>
  </si>
  <si>
    <t xml:space="preserve">2 hours filing + waiting</t>
  </si>
  <si>
    <t xml:space="preserve">Day 15+</t>
  </si>
  <si>
    <t xml:space="preserve">Add Hedra / Topaz / DaVinci Studio when first episode demands them</t>
  </si>
  <si>
    <t xml:space="preserve">Don't pre-buy. Buy on the day you can't proceed without it.</t>
  </si>
  <si>
    <t xml:space="preserve">as needed</t>
  </si>
  <si>
    <t xml:space="preserve">Month 2</t>
  </si>
  <si>
    <t xml:space="preserve">Boost ads budget + Google AI Ultra (only if Runway credits run out)</t>
  </si>
  <si>
    <t xml:space="preserve">Both only after you have organic data to know where to invest.</t>
  </si>
  <si>
    <t xml:space="preserve">ongoing</t>
  </si>
  <si>
    <t xml:space="preserve">Variable cost per generated 60-second vertical episode (estimate)</t>
  </si>
  <si>
    <t xml:space="preserve">Item</t>
  </si>
  <si>
    <t xml:space="preserve">Unit cost (USD)</t>
  </si>
  <si>
    <t xml:space="preserve">Units per episode</t>
  </si>
  <si>
    <t xml:space="preserve">Cost per episode (USD)</t>
  </si>
  <si>
    <t xml:space="preserve">Video generation — Runway credits (Pro tier)</t>
  </si>
  <si>
    <t xml:space="preserve">Voice — ElevenLabs (included in Creator quota)</t>
  </si>
  <si>
    <t xml:space="preserve">Music — Suno (included in Pro quota)</t>
  </si>
  <si>
    <t xml:space="preserve">SFX — Epidemic Sound (flat-rate sub)</t>
  </si>
  <si>
    <t xml:space="preserve">Thumbnail — Midjourney (included in Standard)</t>
  </si>
  <si>
    <t xml:space="preserve">Upscale — Topaz (one-time license)</t>
  </si>
  <si>
    <t xml:space="preserve">Editing time — CapCut (sub flat-rate)</t>
  </si>
  <si>
    <t xml:space="preserve">Variable cost per episode</t>
  </si>
  <si>
    <t xml:space="preserve">NOTE: Fixed subscription cost is amortized separately. At 4 series × 5 ep/wk = 80 ep/mo, MVP fixed cost of ~$195/mo equals ~$2.44 amortized cost per episode on top of variable.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</si>
</sst>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loudflare.com/products/registrar/" TargetMode="External"/><Relationship Id="rId2" Type="http://schemas.openxmlformats.org/officeDocument/2006/relationships/hyperlink" Target="https://workspace.google.com/pricing.html" TargetMode="External"/><Relationship Id="rId3" Type="http://schemas.openxmlformats.org/officeDocument/2006/relationships/hyperlink" Target="https://1password.com/sign-up" TargetMode="External"/><Relationship Id="rId4" Type="http://schemas.openxmlformats.org/officeDocument/2006/relationships/hyperlink" Target="https://runwayml.com/pricing" TargetMode="External"/><Relationship Id="rId5" Type="http://schemas.openxmlformats.org/officeDocument/2006/relationships/hyperlink" Target="https://www.hedra.com/pricing" TargetMode="External"/><Relationship Id="rId6" Type="http://schemas.openxmlformats.org/officeDocument/2006/relationships/hyperlink" Target="https://cloud.google.com/vertex-ai/pricing" TargetMode="External"/><Relationship Id="rId7" Type="http://schemas.openxmlformats.org/officeDocument/2006/relationships/hyperlink" Target="https://www.topazlabs.com/topaz-video-ai" TargetMode="External"/><Relationship Id="rId8" Type="http://schemas.openxmlformats.org/officeDocument/2006/relationships/hyperlink" Target="https://elevenlabs.io/pricing" TargetMode="External"/><Relationship Id="rId9" Type="http://schemas.openxmlformats.org/officeDocument/2006/relationships/hyperlink" Target="https://suno.com/pricing" TargetMode="External"/><Relationship Id="rId10" Type="http://schemas.openxmlformats.org/officeDocument/2006/relationships/hyperlink" Target="https://www.udio.com/pricing" TargetMode="External"/><Relationship Id="rId11" Type="http://schemas.openxmlformats.org/officeDocument/2006/relationships/hyperlink" Target="https://www.epidemicsound.com/pricing/" TargetMode="External"/><Relationship Id="rId12" Type="http://schemas.openxmlformats.org/officeDocument/2006/relationships/hyperlink" Target="https://docs.midjourney.com/docs/plans" TargetMode="External"/><Relationship Id="rId13" Type="http://schemas.openxmlformats.org/officeDocument/2006/relationships/hyperlink" Target="https://fal.ai/pricing" TargetMode="External"/><Relationship Id="rId14" Type="http://schemas.openxmlformats.org/officeDocument/2006/relationships/hyperlink" Target="https://www.anthropic.com/pricing" TargetMode="External"/><Relationship Id="rId15" Type="http://schemas.openxmlformats.org/officeDocument/2006/relationships/hyperlink" Target="https://openai.com/chatgpt/pricing/" TargetMode="External"/><Relationship Id="rId16" Type="http://schemas.openxmlformats.org/officeDocument/2006/relationships/hyperlink" Target="https://www.capcut.com/pricing" TargetMode="External"/><Relationship Id="rId17" Type="http://schemas.openxmlformats.org/officeDocument/2006/relationships/hyperlink" Target="https://www.blackmagicdesign.com/products/davinciresolve" TargetMode="External"/><Relationship Id="rId18" Type="http://schemas.openxmlformats.org/officeDocument/2006/relationships/hyperlink" Target="https://workspace.google.com/pricing.html" TargetMode="External"/><Relationship Id="rId19" Type="http://schemas.openxmlformats.org/officeDocument/2006/relationships/hyperlink" Target="https://www.frame.io/pricing" TargetMode="External"/><Relationship Id="rId20" Type="http://schemas.openxmlformats.org/officeDocument/2006/relationships/hyperlink" Target="https://www.notion.com/pricing" TargetMode="External"/><Relationship Id="rId21" Type="http://schemas.openxmlformats.org/officeDocument/2006/relationships/hyperlink" Target="https://metricool.com/pricing/" TargetMode="External"/><Relationship Id="rId22" Type="http://schemas.openxmlformats.org/officeDocument/2006/relationships/hyperlink" Target="https://ads.tiktok.com/business/creativecenter/" TargetMode="External"/><Relationship Id="rId23" Type="http://schemas.openxmlformats.org/officeDocument/2006/relationships/hyperlink" Target="https://one.google.com/about/ai-premium" TargetMode="External"/><Relationship Id="rId24" Type="http://schemas.openxmlformats.org/officeDocument/2006/relationships/hyperlink" Target="https://ads.tiktok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50"/>
    <col collapsed="false" customWidth="true" hidden="false" outlineLevel="0" max="9" min="9" style="0" width="38"/>
    <col collapsed="false" customWidth="true" hidden="false" outlineLevel="0" max="10" min="10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4" t="n">
        <v>0</v>
      </c>
      <c r="F3" s="4" t="n">
        <v>12</v>
      </c>
      <c r="G3" s="5" t="s">
        <v>15</v>
      </c>
      <c r="H3" s="3" t="s">
        <v>16</v>
      </c>
      <c r="I3" s="6" t="s">
        <v>17</v>
      </c>
      <c r="J3" s="3" t="s">
        <v>18</v>
      </c>
    </row>
    <row r="4" customFormat="false" ht="23.85" hidden="false" customHeight="fals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4" t="n">
        <v>6</v>
      </c>
      <c r="F4" s="4" t="n">
        <v>72</v>
      </c>
      <c r="G4" s="5" t="s">
        <v>15</v>
      </c>
      <c r="H4" s="3" t="s">
        <v>23</v>
      </c>
      <c r="I4" s="6" t="s">
        <v>24</v>
      </c>
      <c r="J4" s="3" t="s">
        <v>25</v>
      </c>
    </row>
    <row r="5" customFormat="false" ht="23.85" hidden="false" customHeight="fals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4" t="n">
        <v>3</v>
      </c>
      <c r="F5" s="4" t="n">
        <v>36</v>
      </c>
      <c r="G5" s="5" t="s">
        <v>15</v>
      </c>
      <c r="H5" s="3" t="s">
        <v>30</v>
      </c>
      <c r="I5" s="6" t="s">
        <v>31</v>
      </c>
      <c r="J5" s="3" t="s">
        <v>32</v>
      </c>
    </row>
    <row r="6" customFormat="false" ht="23.85" hidden="false" customHeight="false" outlineLevel="0" collapsed="false">
      <c r="A6" s="3" t="s">
        <v>33</v>
      </c>
      <c r="B6" s="3" t="s">
        <v>34</v>
      </c>
      <c r="C6" s="3" t="s">
        <v>35</v>
      </c>
      <c r="D6" s="3" t="s">
        <v>36</v>
      </c>
      <c r="E6" s="4" t="n">
        <v>10</v>
      </c>
      <c r="F6" s="4" t="n">
        <v>120</v>
      </c>
      <c r="G6" s="5" t="s">
        <v>15</v>
      </c>
      <c r="H6" s="3" t="s">
        <v>37</v>
      </c>
      <c r="I6" s="3" t="s">
        <v>38</v>
      </c>
      <c r="J6" s="3" t="s">
        <v>39</v>
      </c>
    </row>
    <row r="7" customFormat="false" ht="15" hidden="false" customHeight="false" outlineLevel="0" collapsed="false">
      <c r="A7" s="2" t="s">
        <v>40</v>
      </c>
      <c r="B7" s="2"/>
      <c r="C7" s="2"/>
      <c r="D7" s="2"/>
      <c r="E7" s="2"/>
      <c r="F7" s="2"/>
      <c r="G7" s="2"/>
      <c r="H7" s="2"/>
      <c r="I7" s="2"/>
      <c r="J7" s="2"/>
    </row>
    <row r="8" customFormat="false" ht="35.05" hidden="false" customHeight="false" outlineLevel="0" collapsed="false">
      <c r="A8" s="3" t="s">
        <v>41</v>
      </c>
      <c r="B8" s="3" t="s">
        <v>42</v>
      </c>
      <c r="C8" s="3" t="s">
        <v>43</v>
      </c>
      <c r="D8" s="3" t="s">
        <v>44</v>
      </c>
      <c r="E8" s="4" t="n">
        <v>35</v>
      </c>
      <c r="F8" s="4" t="n">
        <v>336</v>
      </c>
      <c r="G8" s="5" t="s">
        <v>15</v>
      </c>
      <c r="H8" s="3" t="s">
        <v>45</v>
      </c>
      <c r="I8" s="6" t="s">
        <v>46</v>
      </c>
      <c r="J8" s="3" t="s">
        <v>47</v>
      </c>
    </row>
    <row r="9" customFormat="false" ht="23.85" hidden="false" customHeight="false" outlineLevel="0" collapsed="false">
      <c r="A9" s="3" t="s">
        <v>48</v>
      </c>
      <c r="B9" s="3" t="s">
        <v>49</v>
      </c>
      <c r="C9" s="3" t="s">
        <v>50</v>
      </c>
      <c r="D9" s="3" t="s">
        <v>51</v>
      </c>
      <c r="E9" s="4" t="n">
        <v>19</v>
      </c>
      <c r="F9" s="4" t="n">
        <v>180</v>
      </c>
      <c r="G9" s="3" t="s">
        <v>52</v>
      </c>
      <c r="H9" s="3" t="s">
        <v>53</v>
      </c>
      <c r="I9" s="6" t="s">
        <v>54</v>
      </c>
      <c r="J9" s="3" t="s">
        <v>55</v>
      </c>
    </row>
    <row r="10" customFormat="false" ht="23.85" hidden="false" customHeight="false" outlineLevel="0" collapsed="false">
      <c r="A10" s="3" t="s">
        <v>56</v>
      </c>
      <c r="B10" s="3" t="s">
        <v>57</v>
      </c>
      <c r="C10" s="3" t="s">
        <v>58</v>
      </c>
      <c r="D10" s="3" t="s">
        <v>59</v>
      </c>
      <c r="E10" s="4" t="n">
        <v>0</v>
      </c>
      <c r="F10" s="4" t="n">
        <v>0</v>
      </c>
      <c r="G10" s="7" t="s">
        <v>60</v>
      </c>
      <c r="H10" s="3" t="s">
        <v>61</v>
      </c>
      <c r="I10" s="6" t="s">
        <v>62</v>
      </c>
      <c r="J10" s="3" t="s">
        <v>63</v>
      </c>
    </row>
    <row r="11" customFormat="false" ht="23.85" hidden="false" customHeight="false" outlineLevel="0" collapsed="false">
      <c r="A11" s="3" t="s">
        <v>64</v>
      </c>
      <c r="B11" s="3" t="s">
        <v>65</v>
      </c>
      <c r="C11" s="3" t="s">
        <v>66</v>
      </c>
      <c r="D11" s="3" t="s">
        <v>67</v>
      </c>
      <c r="E11" s="4" t="n">
        <v>0</v>
      </c>
      <c r="F11" s="4" t="n">
        <v>299</v>
      </c>
      <c r="G11" s="3" t="s">
        <v>52</v>
      </c>
      <c r="H11" s="3" t="s">
        <v>68</v>
      </c>
      <c r="I11" s="6" t="s">
        <v>69</v>
      </c>
      <c r="J11" s="3" t="s">
        <v>70</v>
      </c>
    </row>
    <row r="12" customFormat="false" ht="15" hidden="false" customHeight="false" outlineLevel="0" collapsed="false">
      <c r="A12" s="2" t="s">
        <v>71</v>
      </c>
      <c r="B12" s="2"/>
      <c r="C12" s="2"/>
      <c r="D12" s="2"/>
      <c r="E12" s="2"/>
      <c r="F12" s="2"/>
      <c r="G12" s="2"/>
      <c r="H12" s="2"/>
      <c r="I12" s="2"/>
      <c r="J12" s="2"/>
    </row>
    <row r="13" customFormat="false" ht="23.85" hidden="false" customHeight="false" outlineLevel="0" collapsed="false">
      <c r="A13" s="3" t="s">
        <v>72</v>
      </c>
      <c r="B13" s="3" t="s">
        <v>73</v>
      </c>
      <c r="C13" s="3" t="s">
        <v>74</v>
      </c>
      <c r="D13" s="3" t="s">
        <v>75</v>
      </c>
      <c r="E13" s="4" t="n">
        <v>22</v>
      </c>
      <c r="F13" s="4" t="n">
        <v>220</v>
      </c>
      <c r="G13" s="5" t="s">
        <v>15</v>
      </c>
      <c r="H13" s="3" t="s">
        <v>76</v>
      </c>
      <c r="I13" s="6" t="s">
        <v>77</v>
      </c>
      <c r="J13" s="3" t="s">
        <v>78</v>
      </c>
    </row>
    <row r="14" customFormat="false" ht="23.85" hidden="false" customHeight="false" outlineLevel="0" collapsed="false">
      <c r="A14" s="3" t="s">
        <v>79</v>
      </c>
      <c r="B14" s="3" t="s">
        <v>80</v>
      </c>
      <c r="C14" s="3" t="s">
        <v>81</v>
      </c>
      <c r="D14" s="3" t="s">
        <v>82</v>
      </c>
      <c r="E14" s="4" t="n">
        <v>10</v>
      </c>
      <c r="F14" s="4" t="n">
        <v>96</v>
      </c>
      <c r="G14" s="5" t="s">
        <v>15</v>
      </c>
      <c r="H14" s="3" t="s">
        <v>83</v>
      </c>
      <c r="I14" s="6" t="s">
        <v>84</v>
      </c>
      <c r="J14" s="3" t="s">
        <v>85</v>
      </c>
    </row>
    <row r="15" customFormat="false" ht="23.85" hidden="false" customHeight="false" outlineLevel="0" collapsed="false">
      <c r="A15" s="3" t="s">
        <v>86</v>
      </c>
      <c r="B15" s="3" t="s">
        <v>87</v>
      </c>
      <c r="C15" s="3" t="s">
        <v>88</v>
      </c>
      <c r="D15" s="3" t="s">
        <v>89</v>
      </c>
      <c r="E15" s="4" t="n">
        <v>10</v>
      </c>
      <c r="F15" s="4" t="n">
        <v>96</v>
      </c>
      <c r="G15" s="7" t="s">
        <v>60</v>
      </c>
      <c r="H15" s="3" t="s">
        <v>90</v>
      </c>
      <c r="I15" s="6" t="s">
        <v>91</v>
      </c>
      <c r="J15" s="3" t="s">
        <v>92</v>
      </c>
    </row>
    <row r="16" customFormat="false" ht="23.85" hidden="false" customHeight="false" outlineLevel="0" collapsed="false">
      <c r="A16" s="3" t="s">
        <v>93</v>
      </c>
      <c r="B16" s="3" t="s">
        <v>94</v>
      </c>
      <c r="C16" s="3" t="s">
        <v>95</v>
      </c>
      <c r="D16" s="3" t="s">
        <v>96</v>
      </c>
      <c r="E16" s="4" t="n">
        <v>19</v>
      </c>
      <c r="F16" s="4" t="n">
        <v>167</v>
      </c>
      <c r="G16" s="5" t="s">
        <v>15</v>
      </c>
      <c r="H16" s="3" t="s">
        <v>97</v>
      </c>
      <c r="I16" s="6" t="s">
        <v>98</v>
      </c>
      <c r="J16" s="3" t="s">
        <v>99</v>
      </c>
    </row>
    <row r="17" customFormat="false" ht="15" hidden="false" customHeight="false" outlineLevel="0" collapsed="false">
      <c r="A17" s="2" t="s">
        <v>100</v>
      </c>
      <c r="B17" s="2"/>
      <c r="C17" s="2"/>
      <c r="D17" s="2"/>
      <c r="E17" s="2"/>
      <c r="F17" s="2"/>
      <c r="G17" s="2"/>
      <c r="H17" s="2"/>
      <c r="I17" s="2"/>
      <c r="J17" s="2"/>
    </row>
    <row r="18" customFormat="false" ht="23.85" hidden="false" customHeight="false" outlineLevel="0" collapsed="false">
      <c r="A18" s="3" t="s">
        <v>101</v>
      </c>
      <c r="B18" s="3" t="s">
        <v>102</v>
      </c>
      <c r="C18" s="3" t="s">
        <v>103</v>
      </c>
      <c r="D18" s="3" t="s">
        <v>104</v>
      </c>
      <c r="E18" s="4" t="n">
        <v>30</v>
      </c>
      <c r="F18" s="4" t="n">
        <v>288</v>
      </c>
      <c r="G18" s="5" t="s">
        <v>15</v>
      </c>
      <c r="H18" s="3" t="s">
        <v>105</v>
      </c>
      <c r="I18" s="6" t="s">
        <v>106</v>
      </c>
      <c r="J18" s="3" t="s">
        <v>107</v>
      </c>
    </row>
    <row r="19" customFormat="false" ht="15" hidden="false" customHeight="false" outlineLevel="0" collapsed="false">
      <c r="A19" s="3" t="s">
        <v>108</v>
      </c>
      <c r="B19" s="3" t="s">
        <v>109</v>
      </c>
      <c r="C19" s="3" t="s">
        <v>110</v>
      </c>
      <c r="D19" s="3" t="s">
        <v>111</v>
      </c>
      <c r="E19" s="4" t="n">
        <v>10</v>
      </c>
      <c r="F19" s="4" t="n">
        <v>120</v>
      </c>
      <c r="G19" s="7" t="s">
        <v>60</v>
      </c>
      <c r="H19" s="3" t="s">
        <v>112</v>
      </c>
      <c r="I19" s="6" t="s">
        <v>113</v>
      </c>
      <c r="J19" s="3" t="s">
        <v>114</v>
      </c>
    </row>
    <row r="20" customFormat="false" ht="15" hidden="false" customHeight="false" outlineLevel="0" collapsed="false">
      <c r="A20" s="2" t="s">
        <v>115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23.85" hidden="false" customHeight="false" outlineLevel="0" collapsed="false">
      <c r="A21" s="3" t="s">
        <v>116</v>
      </c>
      <c r="B21" s="3" t="s">
        <v>117</v>
      </c>
      <c r="C21" s="3" t="s">
        <v>118</v>
      </c>
      <c r="D21" s="3" t="s">
        <v>119</v>
      </c>
      <c r="E21" s="4" t="n">
        <v>20</v>
      </c>
      <c r="F21" s="4" t="n">
        <v>200</v>
      </c>
      <c r="G21" s="5" t="s">
        <v>15</v>
      </c>
      <c r="H21" s="3" t="s">
        <v>120</v>
      </c>
      <c r="I21" s="6" t="s">
        <v>121</v>
      </c>
      <c r="J21" s="3" t="s">
        <v>122</v>
      </c>
    </row>
    <row r="22" customFormat="false" ht="15" hidden="false" customHeight="false" outlineLevel="0" collapsed="false">
      <c r="A22" s="3" t="s">
        <v>123</v>
      </c>
      <c r="B22" s="3" t="s">
        <v>124</v>
      </c>
      <c r="C22" s="3" t="s">
        <v>125</v>
      </c>
      <c r="D22" s="3" t="s">
        <v>126</v>
      </c>
      <c r="E22" s="4" t="n">
        <v>20</v>
      </c>
      <c r="F22" s="4" t="n">
        <v>200</v>
      </c>
      <c r="G22" s="7" t="s">
        <v>60</v>
      </c>
      <c r="H22" s="3" t="s">
        <v>127</v>
      </c>
      <c r="I22" s="6" t="s">
        <v>128</v>
      </c>
      <c r="J22" s="3" t="s">
        <v>129</v>
      </c>
    </row>
    <row r="23" customFormat="false" ht="15" hidden="false" customHeight="false" outlineLevel="0" collapsed="false">
      <c r="A23" s="2" t="s">
        <v>130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23.85" hidden="false" customHeight="false" outlineLevel="0" collapsed="false">
      <c r="A24" s="3" t="s">
        <v>131</v>
      </c>
      <c r="B24" s="3" t="s">
        <v>132</v>
      </c>
      <c r="C24" s="3" t="s">
        <v>133</v>
      </c>
      <c r="D24" s="3" t="s">
        <v>134</v>
      </c>
      <c r="E24" s="4" t="n">
        <v>8</v>
      </c>
      <c r="F24" s="4" t="n">
        <v>75</v>
      </c>
      <c r="G24" s="5" t="s">
        <v>15</v>
      </c>
      <c r="H24" s="3" t="s">
        <v>135</v>
      </c>
      <c r="I24" s="6" t="s">
        <v>136</v>
      </c>
      <c r="J24" s="3" t="s">
        <v>137</v>
      </c>
    </row>
    <row r="25" customFormat="false" ht="23.85" hidden="false" customHeight="false" outlineLevel="0" collapsed="false">
      <c r="A25" s="3" t="s">
        <v>138</v>
      </c>
      <c r="B25" s="3" t="s">
        <v>139</v>
      </c>
      <c r="C25" s="3" t="s">
        <v>140</v>
      </c>
      <c r="D25" s="3" t="s">
        <v>141</v>
      </c>
      <c r="E25" s="4" t="n">
        <v>0</v>
      </c>
      <c r="F25" s="4" t="n">
        <v>295</v>
      </c>
      <c r="G25" s="3" t="s">
        <v>52</v>
      </c>
      <c r="H25" s="3" t="s">
        <v>142</v>
      </c>
      <c r="I25" s="6" t="s">
        <v>143</v>
      </c>
      <c r="J25" s="3" t="s">
        <v>144</v>
      </c>
    </row>
    <row r="26" customFormat="false" ht="15" hidden="false" customHeight="false" outlineLevel="0" collapsed="false">
      <c r="A26" s="2" t="s">
        <v>145</v>
      </c>
      <c r="B26" s="2"/>
      <c r="C26" s="2"/>
      <c r="D26" s="2"/>
      <c r="E26" s="2"/>
      <c r="F26" s="2"/>
      <c r="G26" s="2"/>
      <c r="H26" s="2"/>
      <c r="I26" s="2"/>
      <c r="J26" s="2"/>
    </row>
    <row r="27" customFormat="false" ht="23.85" hidden="false" customHeight="false" outlineLevel="0" collapsed="false">
      <c r="A27" s="3" t="s">
        <v>146</v>
      </c>
      <c r="B27" s="3" t="s">
        <v>147</v>
      </c>
      <c r="C27" s="3" t="s">
        <v>21</v>
      </c>
      <c r="D27" s="3" t="s">
        <v>148</v>
      </c>
      <c r="E27" s="4" t="n">
        <v>0</v>
      </c>
      <c r="F27" s="4" t="n">
        <v>0</v>
      </c>
      <c r="G27" s="5" t="s">
        <v>15</v>
      </c>
      <c r="H27" s="3" t="s">
        <v>149</v>
      </c>
      <c r="I27" s="6" t="s">
        <v>24</v>
      </c>
      <c r="J27" s="3" t="s">
        <v>150</v>
      </c>
    </row>
    <row r="28" customFormat="false" ht="15" hidden="false" customHeight="false" outlineLevel="0" collapsed="false">
      <c r="A28" s="3" t="s">
        <v>151</v>
      </c>
      <c r="B28" s="3" t="s">
        <v>152</v>
      </c>
      <c r="C28" s="3" t="s">
        <v>153</v>
      </c>
      <c r="D28" s="3" t="s">
        <v>154</v>
      </c>
      <c r="E28" s="4" t="n">
        <v>0</v>
      </c>
      <c r="F28" s="4" t="n">
        <v>0</v>
      </c>
      <c r="G28" s="7" t="s">
        <v>60</v>
      </c>
      <c r="H28" s="3" t="s">
        <v>155</v>
      </c>
      <c r="I28" s="6" t="s">
        <v>156</v>
      </c>
      <c r="J28" s="3" t="s">
        <v>157</v>
      </c>
    </row>
    <row r="29" customFormat="false" ht="23.85" hidden="false" customHeight="false" outlineLevel="0" collapsed="false">
      <c r="A29" s="3" t="s">
        <v>158</v>
      </c>
      <c r="B29" s="3" t="s">
        <v>159</v>
      </c>
      <c r="C29" s="3" t="s">
        <v>160</v>
      </c>
      <c r="D29" s="3" t="s">
        <v>161</v>
      </c>
      <c r="E29" s="4" t="n">
        <v>10</v>
      </c>
      <c r="F29" s="4" t="n">
        <v>96</v>
      </c>
      <c r="G29" s="5" t="s">
        <v>15</v>
      </c>
      <c r="H29" s="3" t="s">
        <v>162</v>
      </c>
      <c r="I29" s="6" t="s">
        <v>163</v>
      </c>
      <c r="J29" s="3" t="s">
        <v>164</v>
      </c>
    </row>
    <row r="30" customFormat="false" ht="15" hidden="false" customHeight="false" outlineLevel="0" collapsed="false">
      <c r="A30" s="2" t="s">
        <v>165</v>
      </c>
      <c r="B30" s="2"/>
      <c r="C30" s="2"/>
      <c r="D30" s="2"/>
      <c r="E30" s="2"/>
      <c r="F30" s="2"/>
      <c r="G30" s="2"/>
      <c r="H30" s="2"/>
      <c r="I30" s="2"/>
      <c r="J30" s="2"/>
    </row>
    <row r="31" customFormat="false" ht="23.85" hidden="false" customHeight="false" outlineLevel="0" collapsed="false">
      <c r="A31" s="3" t="s">
        <v>166</v>
      </c>
      <c r="B31" s="3" t="s">
        <v>167</v>
      </c>
      <c r="C31" s="3" t="s">
        <v>168</v>
      </c>
      <c r="D31" s="3" t="s">
        <v>169</v>
      </c>
      <c r="E31" s="4" t="n">
        <v>22</v>
      </c>
      <c r="F31" s="4" t="n">
        <v>216</v>
      </c>
      <c r="G31" s="5" t="s">
        <v>15</v>
      </c>
      <c r="H31" s="3" t="s">
        <v>170</v>
      </c>
      <c r="I31" s="6" t="s">
        <v>171</v>
      </c>
      <c r="J31" s="3" t="s">
        <v>172</v>
      </c>
    </row>
    <row r="32" customFormat="false" ht="15" hidden="false" customHeight="false" outlineLevel="0" collapsed="false">
      <c r="A32" s="3" t="s">
        <v>173</v>
      </c>
      <c r="B32" s="3" t="s">
        <v>174</v>
      </c>
      <c r="C32" s="3" t="s">
        <v>175</v>
      </c>
      <c r="D32" s="3" t="s">
        <v>176</v>
      </c>
      <c r="E32" s="4" t="n">
        <v>0</v>
      </c>
      <c r="F32" s="4" t="n">
        <v>0</v>
      </c>
      <c r="G32" s="5" t="s">
        <v>15</v>
      </c>
      <c r="H32" s="3" t="s">
        <v>177</v>
      </c>
      <c r="I32" s="6" t="s">
        <v>178</v>
      </c>
      <c r="J32" s="3" t="s">
        <v>179</v>
      </c>
    </row>
    <row r="33" customFormat="false" ht="15" hidden="false" customHeight="false" outlineLevel="0" collapsed="false">
      <c r="A33" s="2" t="s">
        <v>180</v>
      </c>
      <c r="B33" s="2"/>
      <c r="C33" s="2"/>
      <c r="D33" s="2"/>
      <c r="E33" s="2"/>
      <c r="F33" s="2"/>
      <c r="G33" s="2"/>
      <c r="H33" s="2"/>
      <c r="I33" s="2"/>
      <c r="J33" s="2"/>
    </row>
    <row r="34" customFormat="false" ht="35.05" hidden="false" customHeight="false" outlineLevel="0" collapsed="false">
      <c r="A34" s="3" t="s">
        <v>181</v>
      </c>
      <c r="B34" s="3" t="s">
        <v>182</v>
      </c>
      <c r="C34" s="3" t="s">
        <v>183</v>
      </c>
      <c r="D34" s="3" t="s">
        <v>184</v>
      </c>
      <c r="E34" s="4" t="n">
        <v>125</v>
      </c>
      <c r="F34" s="4" t="n">
        <v>1500</v>
      </c>
      <c r="G34" s="7" t="s">
        <v>60</v>
      </c>
      <c r="H34" s="3" t="s">
        <v>185</v>
      </c>
      <c r="I34" s="6" t="s">
        <v>186</v>
      </c>
      <c r="J34" s="3" t="s">
        <v>187</v>
      </c>
    </row>
    <row r="35" customFormat="false" ht="23.85" hidden="false" customHeight="false" outlineLevel="0" collapsed="false">
      <c r="A35" s="3" t="s">
        <v>188</v>
      </c>
      <c r="B35" s="3" t="s">
        <v>189</v>
      </c>
      <c r="C35" s="3" t="s">
        <v>190</v>
      </c>
      <c r="D35" s="3" t="s">
        <v>191</v>
      </c>
      <c r="E35" s="4" t="n">
        <v>200</v>
      </c>
      <c r="F35" s="4" t="n">
        <v>2400</v>
      </c>
      <c r="G35" s="7" t="s">
        <v>60</v>
      </c>
      <c r="H35" s="3" t="s">
        <v>192</v>
      </c>
      <c r="I35" s="6" t="s">
        <v>193</v>
      </c>
      <c r="J35" s="3" t="s">
        <v>194</v>
      </c>
    </row>
  </sheetData>
  <hyperlinks>
    <hyperlink ref="I3" r:id="rId1" display="https://www.cloudflare.com/products/registrar/"/>
    <hyperlink ref="I4" r:id="rId2" display="https://workspace.google.com/pricing.html"/>
    <hyperlink ref="I5" r:id="rId3" display="https://1password.com/sign-up"/>
    <hyperlink ref="I8" r:id="rId4" display="https://runwayml.com/pricing"/>
    <hyperlink ref="I9" r:id="rId5" display="https://www.hedra.com/pricing"/>
    <hyperlink ref="I10" r:id="rId6" display="https://cloud.google.com/vertex-ai/pricing"/>
    <hyperlink ref="I11" r:id="rId7" display="https://www.topazlabs.com/topaz-video-ai"/>
    <hyperlink ref="I13" r:id="rId8" display="https://elevenlabs.io/pricing"/>
    <hyperlink ref="I14" r:id="rId9" display="https://suno.com/pricing"/>
    <hyperlink ref="I15" r:id="rId10" display="https://www.udio.com/pricing"/>
    <hyperlink ref="I16" r:id="rId11" display="https://www.epidemicsound.com/pricing/"/>
    <hyperlink ref="I18" r:id="rId12" display="https://docs.midjourney.com/docs/plans"/>
    <hyperlink ref="I19" r:id="rId13" display="https://fal.ai/pricing"/>
    <hyperlink ref="I21" r:id="rId14" display="https://www.anthropic.com/pricing"/>
    <hyperlink ref="I22" r:id="rId15" display="https://openai.com/chatgpt/pricing/"/>
    <hyperlink ref="I24" r:id="rId16" display="https://www.capcut.com/pricing"/>
    <hyperlink ref="I25" r:id="rId17" display="https://www.blackmagicdesign.com/products/davinciresolve"/>
    <hyperlink ref="I27" r:id="rId18" display="https://workspace.google.com/pricing.html"/>
    <hyperlink ref="I28" r:id="rId19" display="https://www.frame.io/pricing"/>
    <hyperlink ref="I29" r:id="rId20" display="https://www.notion.com/pricing"/>
    <hyperlink ref="I31" r:id="rId21" display="https://metricool.com/pricing/"/>
    <hyperlink ref="I32" r:id="rId22" display="https://ads.tiktok.com/business/creativecenter/"/>
    <hyperlink ref="I34" r:id="rId23" display="https://one.google.com/about/ai-premium"/>
    <hyperlink ref="I35" r:id="rId24" display="https://ads.tiktok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8" t="s">
        <v>195</v>
      </c>
    </row>
    <row r="3" customFormat="false" ht="15" hidden="false" customHeight="false" outlineLevel="0" collapsed="false">
      <c r="A3" s="1" t="s">
        <v>196</v>
      </c>
      <c r="B3" s="1" t="s">
        <v>197</v>
      </c>
      <c r="C3" s="1" t="s">
        <v>198</v>
      </c>
    </row>
    <row r="4" customFormat="false" ht="15" hidden="false" customHeight="false" outlineLevel="0" collapsed="false">
      <c r="A4" s="9" t="s">
        <v>199</v>
      </c>
      <c r="B4" s="10" t="n">
        <v>0</v>
      </c>
      <c r="C4" s="10" t="n">
        <v>12</v>
      </c>
    </row>
    <row r="5" customFormat="false" ht="15" hidden="false" customHeight="false" outlineLevel="0" collapsed="false">
      <c r="A5" s="9" t="s">
        <v>200</v>
      </c>
      <c r="B5" s="10" t="n">
        <v>6</v>
      </c>
      <c r="C5" s="10" t="n">
        <v>72</v>
      </c>
    </row>
    <row r="6" customFormat="false" ht="15" hidden="false" customHeight="false" outlineLevel="0" collapsed="false">
      <c r="A6" s="9" t="s">
        <v>201</v>
      </c>
      <c r="B6" s="10" t="n">
        <v>3</v>
      </c>
      <c r="C6" s="10" t="n">
        <v>36</v>
      </c>
    </row>
    <row r="7" customFormat="false" ht="15" hidden="false" customHeight="false" outlineLevel="0" collapsed="false">
      <c r="A7" s="9" t="s">
        <v>202</v>
      </c>
      <c r="B7" s="10" t="n">
        <v>10</v>
      </c>
      <c r="C7" s="10" t="n">
        <v>120</v>
      </c>
    </row>
    <row r="8" customFormat="false" ht="15" hidden="false" customHeight="false" outlineLevel="0" collapsed="false">
      <c r="A8" s="9" t="s">
        <v>203</v>
      </c>
      <c r="B8" s="10" t="n">
        <v>35</v>
      </c>
      <c r="C8" s="10" t="n">
        <v>336</v>
      </c>
    </row>
    <row r="9" customFormat="false" ht="15" hidden="false" customHeight="false" outlineLevel="0" collapsed="false">
      <c r="A9" s="9" t="s">
        <v>204</v>
      </c>
      <c r="B9" s="10" t="n">
        <v>22</v>
      </c>
      <c r="C9" s="10" t="n">
        <v>220</v>
      </c>
    </row>
    <row r="10" customFormat="false" ht="15" hidden="false" customHeight="false" outlineLevel="0" collapsed="false">
      <c r="A10" s="9" t="s">
        <v>80</v>
      </c>
      <c r="B10" s="10" t="n">
        <v>10</v>
      </c>
      <c r="C10" s="10" t="n">
        <v>96</v>
      </c>
    </row>
    <row r="11" customFormat="false" ht="15" hidden="false" customHeight="false" outlineLevel="0" collapsed="false">
      <c r="A11" s="9" t="s">
        <v>205</v>
      </c>
      <c r="B11" s="10" t="n">
        <v>19</v>
      </c>
      <c r="C11" s="10" t="n">
        <v>167</v>
      </c>
    </row>
    <row r="12" customFormat="false" ht="15" hidden="false" customHeight="false" outlineLevel="0" collapsed="false">
      <c r="A12" s="9" t="s">
        <v>206</v>
      </c>
      <c r="B12" s="10" t="n">
        <v>30</v>
      </c>
      <c r="C12" s="10" t="n">
        <v>288</v>
      </c>
    </row>
    <row r="13" customFormat="false" ht="15" hidden="false" customHeight="false" outlineLevel="0" collapsed="false">
      <c r="A13" s="9" t="s">
        <v>117</v>
      </c>
      <c r="B13" s="10" t="n">
        <v>20</v>
      </c>
      <c r="C13" s="10" t="n">
        <v>200</v>
      </c>
    </row>
    <row r="14" customFormat="false" ht="15" hidden="false" customHeight="false" outlineLevel="0" collapsed="false">
      <c r="A14" s="9" t="s">
        <v>132</v>
      </c>
      <c r="B14" s="10" t="n">
        <v>8</v>
      </c>
      <c r="C14" s="10" t="n">
        <v>75</v>
      </c>
    </row>
    <row r="15" customFormat="false" ht="15" hidden="false" customHeight="false" outlineLevel="0" collapsed="false">
      <c r="A15" s="9" t="s">
        <v>207</v>
      </c>
      <c r="B15" s="10" t="n">
        <v>10</v>
      </c>
      <c r="C15" s="10" t="n">
        <v>96</v>
      </c>
    </row>
    <row r="16" customFormat="false" ht="15" hidden="false" customHeight="false" outlineLevel="0" collapsed="false">
      <c r="A16" s="9" t="s">
        <v>208</v>
      </c>
      <c r="B16" s="10" t="n">
        <v>22</v>
      </c>
      <c r="C16" s="10" t="n">
        <v>216</v>
      </c>
    </row>
    <row r="17" customFormat="false" ht="15" hidden="false" customHeight="false" outlineLevel="0" collapsed="false">
      <c r="A17" s="11" t="s">
        <v>209</v>
      </c>
      <c r="B17" s="12" t="n">
        <f aca="false">SUM(B4:B16)</f>
        <v>195</v>
      </c>
      <c r="C17" s="12" t="n">
        <f aca="false">SUM(C4:C16)</f>
        <v>1934</v>
      </c>
    </row>
    <row r="19" customFormat="false" ht="15" hidden="false" customHeight="false" outlineLevel="0" collapsed="false">
      <c r="A19" s="11" t="s">
        <v>210</v>
      </c>
      <c r="B19" s="11" t="s">
        <v>197</v>
      </c>
      <c r="C19" s="11" t="s">
        <v>211</v>
      </c>
    </row>
    <row r="20" customFormat="false" ht="15" hidden="false" customHeight="false" outlineLevel="0" collapsed="false">
      <c r="A20" s="9" t="s">
        <v>212</v>
      </c>
      <c r="B20" s="10" t="n">
        <v>60</v>
      </c>
      <c r="C20" s="10" t="n">
        <v>480</v>
      </c>
    </row>
    <row r="21" customFormat="false" ht="15" hidden="false" customHeight="false" outlineLevel="0" collapsed="false">
      <c r="A21" s="9" t="s">
        <v>213</v>
      </c>
      <c r="B21" s="10" t="n">
        <v>19</v>
      </c>
      <c r="C21" s="10" t="n">
        <v>180</v>
      </c>
    </row>
    <row r="22" customFormat="false" ht="15" hidden="false" customHeight="false" outlineLevel="0" collapsed="false">
      <c r="A22" s="9" t="s">
        <v>214</v>
      </c>
      <c r="B22" s="10" t="n">
        <v>0</v>
      </c>
      <c r="C22" s="10" t="n">
        <v>299</v>
      </c>
    </row>
    <row r="23" customFormat="false" ht="15" hidden="false" customHeight="false" outlineLevel="0" collapsed="false">
      <c r="A23" s="9" t="s">
        <v>215</v>
      </c>
      <c r="B23" s="10" t="n">
        <v>0</v>
      </c>
      <c r="C23" s="10" t="n">
        <v>295</v>
      </c>
    </row>
    <row r="24" customFormat="false" ht="15" hidden="false" customHeight="false" outlineLevel="0" collapsed="false">
      <c r="A24" s="9" t="s">
        <v>216</v>
      </c>
      <c r="B24" s="10" t="n">
        <v>125</v>
      </c>
      <c r="C24" s="10" t="n">
        <v>1500</v>
      </c>
    </row>
    <row r="25" customFormat="false" ht="15" hidden="false" customHeight="false" outlineLevel="0" collapsed="false">
      <c r="A25" s="9" t="s">
        <v>217</v>
      </c>
      <c r="B25" s="10" t="n">
        <v>200</v>
      </c>
      <c r="C25" s="10" t="n">
        <v>2400</v>
      </c>
    </row>
    <row r="26" customFormat="false" ht="15" hidden="false" customHeight="false" outlineLevel="0" collapsed="false">
      <c r="A26" s="11" t="s">
        <v>218</v>
      </c>
      <c r="B26" s="12" t="n">
        <f aca="false">SUM(B20:B25)</f>
        <v>404</v>
      </c>
      <c r="C26" s="12" t="n">
        <f aca="false">SUM(C20:C25)</f>
        <v>5154</v>
      </c>
    </row>
    <row r="28" customFormat="false" ht="15" hidden="false" customHeight="false" outlineLevel="0" collapsed="false">
      <c r="A28" s="11" t="s">
        <v>219</v>
      </c>
      <c r="B28" s="12" t="n">
        <f aca="false">B17+B26</f>
        <v>599</v>
      </c>
      <c r="C28" s="12" t="n">
        <f aca="false">C17+C26</f>
        <v>7088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220</v>
      </c>
      <c r="B1" s="1" t="s">
        <v>221</v>
      </c>
      <c r="C1" s="1" t="s">
        <v>222</v>
      </c>
      <c r="D1" s="1" t="s">
        <v>223</v>
      </c>
    </row>
    <row r="2" customFormat="false" ht="23.85" hidden="false" customHeight="false" outlineLevel="0" collapsed="false">
      <c r="A2" s="3" t="s">
        <v>224</v>
      </c>
      <c r="B2" s="3" t="s">
        <v>225</v>
      </c>
      <c r="C2" s="3" t="s">
        <v>226</v>
      </c>
      <c r="D2" s="3" t="s">
        <v>227</v>
      </c>
    </row>
    <row r="3" customFormat="false" ht="15" hidden="false" customHeight="false" outlineLevel="0" collapsed="false">
      <c r="A3" s="3" t="s">
        <v>228</v>
      </c>
      <c r="B3" s="3" t="s">
        <v>229</v>
      </c>
      <c r="C3" s="3" t="s">
        <v>230</v>
      </c>
      <c r="D3" s="3" t="s">
        <v>231</v>
      </c>
    </row>
    <row r="4" customFormat="false" ht="23.85" hidden="false" customHeight="false" outlineLevel="0" collapsed="false">
      <c r="A4" s="3" t="s">
        <v>232</v>
      </c>
      <c r="B4" s="3" t="s">
        <v>233</v>
      </c>
      <c r="C4" s="3" t="s">
        <v>234</v>
      </c>
      <c r="D4" s="3" t="s">
        <v>235</v>
      </c>
    </row>
    <row r="5" customFormat="false" ht="15" hidden="false" customHeight="false" outlineLevel="0" collapsed="false">
      <c r="A5" s="3" t="s">
        <v>232</v>
      </c>
      <c r="B5" s="3" t="s">
        <v>236</v>
      </c>
      <c r="C5" s="3" t="s">
        <v>237</v>
      </c>
      <c r="D5" s="3" t="s">
        <v>238</v>
      </c>
    </row>
    <row r="6" customFormat="false" ht="15" hidden="false" customHeight="false" outlineLevel="0" collapsed="false">
      <c r="A6" s="3" t="s">
        <v>239</v>
      </c>
      <c r="B6" s="3" t="s">
        <v>240</v>
      </c>
      <c r="C6" s="3" t="s">
        <v>241</v>
      </c>
      <c r="D6" s="3" t="s">
        <v>242</v>
      </c>
    </row>
    <row r="7" customFormat="false" ht="15" hidden="false" customHeight="false" outlineLevel="0" collapsed="false">
      <c r="A7" s="3" t="s">
        <v>243</v>
      </c>
      <c r="B7" s="3" t="s">
        <v>244</v>
      </c>
      <c r="C7" s="3" t="s">
        <v>245</v>
      </c>
      <c r="D7" s="3" t="s">
        <v>227</v>
      </c>
    </row>
    <row r="8" customFormat="false" ht="15" hidden="false" customHeight="false" outlineLevel="0" collapsed="false">
      <c r="A8" s="3" t="s">
        <v>246</v>
      </c>
      <c r="B8" s="3" t="s">
        <v>247</v>
      </c>
      <c r="C8" s="3" t="s">
        <v>248</v>
      </c>
      <c r="D8" s="3" t="s">
        <v>227</v>
      </c>
    </row>
    <row r="9" customFormat="false" ht="23.85" hidden="false" customHeight="false" outlineLevel="0" collapsed="false">
      <c r="A9" s="3" t="s">
        <v>249</v>
      </c>
      <c r="B9" s="3" t="s">
        <v>250</v>
      </c>
      <c r="C9" s="3" t="s">
        <v>251</v>
      </c>
      <c r="D9" s="3" t="s">
        <v>252</v>
      </c>
    </row>
    <row r="10" customFormat="false" ht="23.85" hidden="false" customHeight="false" outlineLevel="0" collapsed="false">
      <c r="A10" s="3" t="s">
        <v>253</v>
      </c>
      <c r="B10" s="3" t="s">
        <v>254</v>
      </c>
      <c r="C10" s="3" t="s">
        <v>255</v>
      </c>
      <c r="D10" s="3" t="s">
        <v>256</v>
      </c>
    </row>
    <row r="11" customFormat="false" ht="23.85" hidden="false" customHeight="false" outlineLevel="0" collapsed="false">
      <c r="A11" s="3" t="s">
        <v>257</v>
      </c>
      <c r="B11" s="3" t="s">
        <v>258</v>
      </c>
      <c r="C11" s="3" t="s">
        <v>259</v>
      </c>
      <c r="D11" s="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8" t="s">
        <v>261</v>
      </c>
    </row>
    <row r="3" customFormat="false" ht="26.85" hidden="false" customHeight="false" outlineLevel="0" collapsed="false">
      <c r="A3" s="1" t="s">
        <v>262</v>
      </c>
      <c r="B3" s="1" t="s">
        <v>263</v>
      </c>
      <c r="C3" s="1" t="s">
        <v>264</v>
      </c>
      <c r="D3" s="1" t="s">
        <v>265</v>
      </c>
    </row>
    <row r="4" customFormat="false" ht="15" hidden="false" customHeight="false" outlineLevel="0" collapsed="false">
      <c r="A4" s="9" t="s">
        <v>266</v>
      </c>
      <c r="B4" s="13" t="n">
        <v>0.5</v>
      </c>
      <c r="C4" s="14" t="n">
        <v>12</v>
      </c>
      <c r="D4" s="13" t="n">
        <f aca="false">B4*C4</f>
        <v>6</v>
      </c>
    </row>
    <row r="5" customFormat="false" ht="15" hidden="false" customHeight="false" outlineLevel="0" collapsed="false">
      <c r="A5" s="9" t="s">
        <v>267</v>
      </c>
      <c r="B5" s="13" t="n">
        <v>0</v>
      </c>
      <c r="C5" s="14" t="n">
        <v>1</v>
      </c>
      <c r="D5" s="13" t="n">
        <f aca="false">B5*C5</f>
        <v>0</v>
      </c>
    </row>
    <row r="6" customFormat="false" ht="15" hidden="false" customHeight="false" outlineLevel="0" collapsed="false">
      <c r="A6" s="9" t="s">
        <v>268</v>
      </c>
      <c r="B6" s="13" t="n">
        <v>0</v>
      </c>
      <c r="C6" s="14" t="n">
        <v>1</v>
      </c>
      <c r="D6" s="13" t="n">
        <f aca="false">B6*C6</f>
        <v>0</v>
      </c>
    </row>
    <row r="7" customFormat="false" ht="15" hidden="false" customHeight="false" outlineLevel="0" collapsed="false">
      <c r="A7" s="9" t="s">
        <v>269</v>
      </c>
      <c r="B7" s="13" t="n">
        <v>0</v>
      </c>
      <c r="C7" s="14" t="n">
        <v>1</v>
      </c>
      <c r="D7" s="13" t="n">
        <f aca="false">B7*C7</f>
        <v>0</v>
      </c>
    </row>
    <row r="8" customFormat="false" ht="15" hidden="false" customHeight="false" outlineLevel="0" collapsed="false">
      <c r="A8" s="9" t="s">
        <v>270</v>
      </c>
      <c r="B8" s="13" t="n">
        <v>0</v>
      </c>
      <c r="C8" s="14" t="n">
        <v>1</v>
      </c>
      <c r="D8" s="13" t="n">
        <f aca="false">B8*C8</f>
        <v>0</v>
      </c>
    </row>
    <row r="9" customFormat="false" ht="15" hidden="false" customHeight="false" outlineLevel="0" collapsed="false">
      <c r="A9" s="9" t="s">
        <v>271</v>
      </c>
      <c r="B9" s="13" t="n">
        <v>0</v>
      </c>
      <c r="C9" s="14" t="n">
        <v>1</v>
      </c>
      <c r="D9" s="13" t="n">
        <f aca="false">B9*C9</f>
        <v>0</v>
      </c>
    </row>
    <row r="10" customFormat="false" ht="15" hidden="false" customHeight="false" outlineLevel="0" collapsed="false">
      <c r="A10" s="9" t="s">
        <v>272</v>
      </c>
      <c r="B10" s="13" t="n">
        <v>0</v>
      </c>
      <c r="C10" s="14" t="n">
        <v>1</v>
      </c>
      <c r="D10" s="13" t="n">
        <f aca="false">B10*C10</f>
        <v>0</v>
      </c>
    </row>
    <row r="11" customFormat="false" ht="15" hidden="false" customHeight="false" outlineLevel="0" collapsed="false">
      <c r="A11" s="11" t="s">
        <v>273</v>
      </c>
      <c r="B11" s="11"/>
      <c r="C11" s="11"/>
      <c r="D11" s="15" t="n">
        <f aca="false">SUM(D4:D10)</f>
        <v>6</v>
      </c>
    </row>
    <row r="13" customFormat="false" ht="23.85" hidden="false" customHeight="true" outlineLevel="0" collapsed="false">
      <c r="A13" s="16" t="s">
        <v>274</v>
      </c>
      <c r="B13" s="16"/>
      <c r="C13" s="16"/>
      <c r="D13" s="16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2026-05-18T13:45:17Z</dcterms:created>
  <dc:creator>openpyxl</dc:creator>
  <dc:description/>
  <dc:language>en-US</dc:language>
  <cp:lastModifiedBy/>
  <dcterms:modified xsi:type="dcterms:W3CDTF">2026-05-18T13:45:17Z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