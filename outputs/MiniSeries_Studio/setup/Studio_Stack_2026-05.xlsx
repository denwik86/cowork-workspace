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ck" sheetId="1" state="visible" r:id="rId1"/>
    <sheet xmlns:r="http://schemas.openxmlformats.org/officeDocument/2006/relationships" name="Budget" sheetId="2" state="visible" r:id="rId2"/>
    <sheet xmlns:r="http://schemas.openxmlformats.org/officeDocument/2006/relationships" name="Order_of_purchase" sheetId="3" state="visible" r:id="rId3"/>
    <sheet xmlns:r="http://schemas.openxmlformats.org/officeDocument/2006/relationships" name="Cost_per_episod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;($#,##0);-"/>
    <numFmt numFmtId="165" formatCode="$#,##0.00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b val="1"/>
      <color rgb="001F2A44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i val="1"/>
      <color rgb="00555555"/>
      <sz val="10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3" borderId="1" pivotButton="0" quotePrefix="0" xfId="0"/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5" fillId="0" borderId="0" pivotButton="0" quotePrefix="0" xfId="0"/>
    <xf numFmtId="0" fontId="3" fillId="0" borderId="1" pivotButton="0" quotePrefix="0" xfId="0"/>
    <xf numFmtId="164" fontId="0" fillId="0" borderId="1" pivotButton="0" quotePrefix="0" xfId="0"/>
    <xf numFmtId="0" fontId="1" fillId="2" borderId="1" pivotButton="0" quotePrefix="0" xfId="0"/>
    <xf numFmtId="164" fontId="1" fillId="2" borderId="1" pivotButton="0" quotePrefix="0" xfId="0"/>
    <xf numFmtId="165" fontId="0" fillId="0" borderId="1" pivotButton="0" quotePrefix="0" xfId="0"/>
    <xf numFmtId="0" fontId="0" fillId="0" borderId="1" pivotButton="0" quotePrefix="0" xfId="0"/>
    <xf numFmtId="165" fontId="1" fillId="2" borderId="1" pivotButton="0" quotePrefix="0" xfId="0"/>
    <xf numFmtId="0" fontId="6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loudflare.com/products/registrar/" TargetMode="External" Id="rId1"/><Relationship Type="http://schemas.openxmlformats.org/officeDocument/2006/relationships/hyperlink" Target="https://workspace.google.com/pricing.html" TargetMode="External" Id="rId2"/><Relationship Type="http://schemas.openxmlformats.org/officeDocument/2006/relationships/hyperlink" Target="https://1password.com/sign-up" TargetMode="External" Id="rId3"/><Relationship Type="http://schemas.openxmlformats.org/officeDocument/2006/relationships/hyperlink" Target="https://runwayml.com/pricing" TargetMode="External" Id="rId4"/><Relationship Type="http://schemas.openxmlformats.org/officeDocument/2006/relationships/hyperlink" Target="https://www.hedra.com/pricing" TargetMode="External" Id="rId5"/><Relationship Type="http://schemas.openxmlformats.org/officeDocument/2006/relationships/hyperlink" Target="https://cloud.google.com/vertex-ai/pricing" TargetMode="External" Id="rId6"/><Relationship Type="http://schemas.openxmlformats.org/officeDocument/2006/relationships/hyperlink" Target="https://www.topazlabs.com/topaz-video-ai" TargetMode="External" Id="rId7"/><Relationship Type="http://schemas.openxmlformats.org/officeDocument/2006/relationships/hyperlink" Target="https://elevenlabs.io/pricing" TargetMode="External" Id="rId8"/><Relationship Type="http://schemas.openxmlformats.org/officeDocument/2006/relationships/hyperlink" Target="https://suno.com/pricing" TargetMode="External" Id="rId9"/><Relationship Type="http://schemas.openxmlformats.org/officeDocument/2006/relationships/hyperlink" Target="https://www.udio.com/pricing" TargetMode="External" Id="rId10"/><Relationship Type="http://schemas.openxmlformats.org/officeDocument/2006/relationships/hyperlink" Target="https://www.epidemicsound.com/pricing/" TargetMode="External" Id="rId11"/><Relationship Type="http://schemas.openxmlformats.org/officeDocument/2006/relationships/hyperlink" Target="https://docs.midjourney.com/docs/plans" TargetMode="External" Id="rId12"/><Relationship Type="http://schemas.openxmlformats.org/officeDocument/2006/relationships/hyperlink" Target="https://fal.ai/pricing" TargetMode="External" Id="rId13"/><Relationship Type="http://schemas.openxmlformats.org/officeDocument/2006/relationships/hyperlink" Target="https://www.anthropic.com/pricing" TargetMode="External" Id="rId14"/><Relationship Type="http://schemas.openxmlformats.org/officeDocument/2006/relationships/hyperlink" Target="https://openai.com/chatgpt/pricing/" TargetMode="External" Id="rId15"/><Relationship Type="http://schemas.openxmlformats.org/officeDocument/2006/relationships/hyperlink" Target="https://www.capcut.com/pricing" TargetMode="External" Id="rId16"/><Relationship Type="http://schemas.openxmlformats.org/officeDocument/2006/relationships/hyperlink" Target="https://www.blackmagicdesign.com/products/davinciresolve" TargetMode="External" Id="rId17"/><Relationship Type="http://schemas.openxmlformats.org/officeDocument/2006/relationships/hyperlink" Target="https://workspace.google.com/pricing.html" TargetMode="External" Id="rId18"/><Relationship Type="http://schemas.openxmlformats.org/officeDocument/2006/relationships/hyperlink" Target="https://www.frame.io/pricing" TargetMode="External" Id="rId19"/><Relationship Type="http://schemas.openxmlformats.org/officeDocument/2006/relationships/hyperlink" Target="https://www.notion.com/pricing" TargetMode="External" Id="rId20"/><Relationship Type="http://schemas.openxmlformats.org/officeDocument/2006/relationships/hyperlink" Target="https://metricool.com/pricing/" TargetMode="External" Id="rId21"/><Relationship Type="http://schemas.openxmlformats.org/officeDocument/2006/relationships/hyperlink" Target="https://ads.tiktok.com/business/creativecenter/" TargetMode="External" Id="rId22"/><Relationship Type="http://schemas.openxmlformats.org/officeDocument/2006/relationships/hyperlink" Target="https://one.google.com/about/ai-premium" TargetMode="External" Id="rId23"/><Relationship Type="http://schemas.openxmlformats.org/officeDocument/2006/relationships/hyperlink" Target="https://ads.tiktok.com/" TargetMode="External" Id="rId2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32" customWidth="1" min="3" max="3"/>
    <col width="32" customWidth="1" min="4" max="4"/>
    <col width="14" customWidth="1" min="5" max="5"/>
    <col width="18" customWidth="1" min="6" max="6"/>
    <col width="10" customWidth="1" min="7" max="7"/>
    <col width="50" customWidth="1" min="8" max="8"/>
    <col width="38" customWidth="1" min="9" max="9"/>
    <col width="60" customWidth="1" min="10" max="10"/>
  </cols>
  <sheetData>
    <row r="1" ht="32" customHeight="1">
      <c r="A1" s="1" t="inlineStr">
        <is>
          <t>Category</t>
        </is>
      </c>
      <c r="B1" s="1" t="inlineStr">
        <is>
          <t>Tool</t>
        </is>
      </c>
      <c r="C1" s="1" t="inlineStr">
        <is>
          <t>Vendor / Where to buy</t>
        </is>
      </c>
      <c r="D1" s="1" t="inlineStr">
        <is>
          <t>Recommended tier</t>
        </is>
      </c>
      <c r="E1" s="1" t="inlineStr">
        <is>
          <t>Monthly $ (USD)</t>
        </is>
      </c>
      <c r="F1" s="1" t="inlineStr">
        <is>
          <t>Annual $ (USD, billed yearly)</t>
        </is>
      </c>
      <c r="G1" s="1" t="inlineStr">
        <is>
          <t>Priority</t>
        </is>
      </c>
      <c r="H1" s="1" t="inlineStr">
        <is>
          <t>Role in the pipeline</t>
        </is>
      </c>
      <c r="I1" s="1" t="inlineStr">
        <is>
          <t>URL</t>
        </is>
      </c>
      <c r="J1" s="1" t="inlineStr">
        <is>
          <t>Notes</t>
        </is>
      </c>
    </row>
    <row r="2">
      <c r="A2" s="2" t="inlineStr">
        <is>
          <t>1. Identity &amp; Foundation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>
      <c r="A3" s="3" t="inlineStr">
        <is>
          <t>Domain</t>
        </is>
      </c>
      <c r="B3" s="3" t="inlineStr">
        <is>
          <t>Cloudflare Registrar (or Namecheap)</t>
        </is>
      </c>
      <c r="C3" s="3" t="inlineStr">
        <is>
          <t>cloudflare.com / namecheap.com</t>
        </is>
      </c>
      <c r="D3" s="3" t="inlineStr">
        <is>
          <t>Studio domain (.com or .studio)</t>
        </is>
      </c>
      <c r="E3" s="4" t="n">
        <v>0</v>
      </c>
      <c r="F3" s="4" t="n">
        <v>12</v>
      </c>
      <c r="G3" s="5" t="inlineStr">
        <is>
          <t>Must</t>
        </is>
      </c>
      <c r="H3" s="3" t="inlineStr">
        <is>
          <t>Brand domain for studio + per-series subdomains/emails</t>
        </is>
      </c>
      <c r="I3" s="6" t="inlineStr">
        <is>
          <t>https://www.cloudflare.com/products/registrar/</t>
        </is>
      </c>
      <c r="J3" s="3" t="inlineStr">
        <is>
          <t>Cloudflare sells at cost. Buy ONE studio domain; create email aliases per series.</t>
        </is>
      </c>
    </row>
    <row r="4">
      <c r="A4" s="3" t="inlineStr">
        <is>
          <t>Email</t>
        </is>
      </c>
      <c r="B4" s="3" t="inlineStr">
        <is>
          <t>Google Workspace</t>
        </is>
      </c>
      <c r="C4" s="3" t="inlineStr">
        <is>
          <t>workspace.google.com</t>
        </is>
      </c>
      <c r="D4" s="3" t="inlineStr">
        <is>
          <t>Business Starter</t>
        </is>
      </c>
      <c r="E4" s="4" t="n">
        <v>6</v>
      </c>
      <c r="F4" s="4" t="n">
        <v>72</v>
      </c>
      <c r="G4" s="5" t="inlineStr">
        <is>
          <t>Must</t>
        </is>
      </c>
      <c r="H4" s="3" t="inlineStr">
        <is>
          <t>Studio email + per-series aliases for account registrations</t>
        </is>
      </c>
      <c r="I4" s="6" t="inlineStr">
        <is>
          <t>https://workspace.google.com/pricing.html</t>
        </is>
      </c>
      <c r="J4" s="3" t="inlineStr">
        <is>
          <t>One mailbox is enough — use aliases s1@, s2@, s3@, s4@. Real domain emails get fewer platform blocks.</t>
        </is>
      </c>
    </row>
    <row r="5">
      <c r="A5" s="3" t="inlineStr">
        <is>
          <t>Password / 2FA</t>
        </is>
      </c>
      <c r="B5" s="3" t="inlineStr">
        <is>
          <t>1Password</t>
        </is>
      </c>
      <c r="C5" s="3" t="inlineStr">
        <is>
          <t>1password.com</t>
        </is>
      </c>
      <c r="D5" s="3" t="inlineStr">
        <is>
          <t>Individual or Teams</t>
        </is>
      </c>
      <c r="E5" s="4" t="n">
        <v>3</v>
      </c>
      <c r="F5" s="4" t="n">
        <v>36</v>
      </c>
      <c r="G5" s="5" t="inlineStr">
        <is>
          <t>Must</t>
        </is>
      </c>
      <c r="H5" s="3" t="inlineStr">
        <is>
          <t>Store every account, API key, recovery code, 2FA seed</t>
        </is>
      </c>
      <c r="I5" s="6" t="inlineStr">
        <is>
          <t>https://1password.com/sign-up</t>
        </is>
      </c>
      <c r="J5" s="3" t="inlineStr">
        <is>
          <t>Alternative: Bitwarden free. With 12+ accounts and API tokens, a manager is non-negotiable.</t>
        </is>
      </c>
    </row>
    <row r="6">
      <c r="A6" s="3" t="inlineStr">
        <is>
          <t>Phone verification</t>
        </is>
      </c>
      <c r="B6" s="3" t="inlineStr">
        <is>
          <t>Physical SIM (KPN, Vodafone, Lebara NL)</t>
        </is>
      </c>
      <c r="C6" s="3" t="inlineStr">
        <is>
          <t>Local carrier</t>
        </is>
      </c>
      <c r="D6" s="3" t="inlineStr">
        <is>
          <t>Cheap data SIM</t>
        </is>
      </c>
      <c r="E6" s="4" t="n">
        <v>10</v>
      </c>
      <c r="F6" s="4" t="n">
        <v>120</v>
      </c>
      <c r="G6" s="5" t="inlineStr">
        <is>
          <t>Must</t>
        </is>
      </c>
      <c r="H6" s="3" t="inlineStr">
        <is>
          <t>Verify TikTok / Meta / YouTube accounts. Virtual numbers get rejected often.</t>
        </is>
      </c>
      <c r="I6" s="3" t="inlineStr">
        <is>
          <t>n/a</t>
        </is>
      </c>
      <c r="J6" s="3" t="inlineStr">
        <is>
          <t>One physical SIM works for all accounts via SMS rotation.</t>
        </is>
      </c>
    </row>
    <row r="7">
      <c r="A7" s="2" t="inlineStr">
        <is>
          <t>2. AI Video Generation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s="3" t="inlineStr">
        <is>
          <t>Video (multi-model hub)</t>
        </is>
      </c>
      <c r="B8" s="3" t="inlineStr">
        <is>
          <t>Runway</t>
        </is>
      </c>
      <c r="C8" s="3" t="inlineStr">
        <is>
          <t>runwayml.com</t>
        </is>
      </c>
      <c r="D8" s="3" t="inlineStr">
        <is>
          <t>Pro ($35/mo or $28/mo annual)</t>
        </is>
      </c>
      <c r="E8" s="4" t="n">
        <v>35</v>
      </c>
      <c r="F8" s="4" t="n">
        <v>336</v>
      </c>
      <c r="G8" s="5" t="inlineStr">
        <is>
          <t>Must</t>
        </is>
      </c>
      <c r="H8" s="3" t="inlineStr">
        <is>
          <t>Primary generator. Pro plan now includes Gen-4.5 + Veo 3.1 + Kling 3.0 Pro in one UI. Character lock via reference for S1/S2.</t>
        </is>
      </c>
      <c r="I8" s="6" t="inlineStr">
        <is>
          <t>https://runwayml.com/pricing</t>
        </is>
      </c>
      <c r="J8" s="3" t="inlineStr">
        <is>
          <t>BIG CHANGE 2026: Runway bundles Veo 3.1 + Kling 3.0 — no need for separate subs at MVP volume. Move up to Unlimited ($76/mo annual) when sustaining &gt;2 episodes/day.</t>
        </is>
      </c>
    </row>
    <row r="9">
      <c r="A9" s="3" t="inlineStr">
        <is>
          <t>Talking-head lip-sync</t>
        </is>
      </c>
      <c r="B9" s="3" t="inlineStr">
        <is>
          <t>Hedra (Character-3)</t>
        </is>
      </c>
      <c r="C9" s="3" t="inlineStr">
        <is>
          <t>hedra.com</t>
        </is>
      </c>
      <c r="D9" s="3" t="inlineStr">
        <is>
          <t>Creator / Pro</t>
        </is>
      </c>
      <c r="E9" s="4" t="n">
        <v>19</v>
      </c>
      <c r="F9" s="4" t="n">
        <v>180</v>
      </c>
      <c r="G9" s="3" t="inlineStr">
        <is>
          <t>Should</t>
        </is>
      </c>
      <c r="H9" s="3" t="inlineStr">
        <is>
          <t>Intimate talking-head moments in S4 UNSENT and direct-camera POV shots in S3</t>
        </is>
      </c>
      <c r="I9" s="6" t="inlineStr">
        <is>
          <t>https://www.hedra.com/pricing</t>
        </is>
      </c>
      <c r="J9" s="3" t="inlineStr">
        <is>
          <t>Add only when episodes need precise lip-sync to recorded VO. Skip if Veo 3.1 native audio is sufficient.</t>
        </is>
      </c>
    </row>
    <row r="10">
      <c r="A10" s="3" t="inlineStr">
        <is>
          <t>Direct API access (volume tier)</t>
        </is>
      </c>
      <c r="B10" s="3" t="inlineStr">
        <is>
          <t>Google Veo via Vertex AI</t>
        </is>
      </c>
      <c r="C10" s="3" t="inlineStr">
        <is>
          <t>cloud.google.com/vertex-ai</t>
        </is>
      </c>
      <c r="D10" s="3" t="inlineStr">
        <is>
          <t>Pay-as-you-go API</t>
        </is>
      </c>
      <c r="E10" s="4" t="n">
        <v>0</v>
      </c>
      <c r="F10" s="4" t="n">
        <v>0</v>
      </c>
      <c r="G10" s="7" t="inlineStr">
        <is>
          <t>Nice</t>
        </is>
      </c>
      <c r="H10" s="3" t="inlineStr">
        <is>
          <t>Direct API when you outgrow Runway credits. $0.40–$0.75 per second of video.</t>
        </is>
      </c>
      <c r="I10" s="6" t="inlineStr">
        <is>
          <t>https://cloud.google.com/vertex-ai/pricing</t>
        </is>
      </c>
      <c r="J10" s="3" t="inlineStr">
        <is>
          <t>Skip until volume justifies. $300 free credits on new GCP account ≈ 6,000 seconds of Veo 3.1 Lite.</t>
        </is>
      </c>
    </row>
    <row r="11">
      <c r="A11" s="3" t="inlineStr">
        <is>
          <t>Upscale &amp; cleanup</t>
        </is>
      </c>
      <c r="B11" s="3" t="inlineStr">
        <is>
          <t>Topaz Video AI</t>
        </is>
      </c>
      <c r="C11" s="3" t="inlineStr">
        <is>
          <t>topazlabs.com</t>
        </is>
      </c>
      <c r="D11" s="3" t="inlineStr">
        <is>
          <t>Perpetual license + 1y updates</t>
        </is>
      </c>
      <c r="E11" s="4" t="n">
        <v>0</v>
      </c>
      <c r="F11" s="4" t="n">
        <v>299</v>
      </c>
      <c r="G11" s="3" t="inlineStr">
        <is>
          <t>Should</t>
        </is>
      </c>
      <c r="H11" s="3" t="inlineStr">
        <is>
          <t>Upscale to 4K, denoise, stabilize. One-time purchase, no subscription.</t>
        </is>
      </c>
      <c r="I11" s="6" t="inlineStr">
        <is>
          <t>https://www.topazlabs.com/topaz-video-ai</t>
        </is>
      </c>
      <c r="J11" s="3" t="inlineStr">
        <is>
          <t>One-time $299 covers a year of updates. Buy once and use across all 4 series.</t>
        </is>
      </c>
    </row>
    <row r="12">
      <c r="A12" s="2" t="inlineStr">
        <is>
          <t>3. AI Voice &amp; Music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3" t="inlineStr">
        <is>
          <t>Voice cloning + TTS</t>
        </is>
      </c>
      <c r="B13" s="3" t="inlineStr">
        <is>
          <t>ElevenLabs</t>
        </is>
      </c>
      <c r="C13" s="3" t="inlineStr">
        <is>
          <t>elevenlabs.io</t>
        </is>
      </c>
      <c r="D13" s="3" t="inlineStr">
        <is>
          <t>Creator ($22/mo)</t>
        </is>
      </c>
      <c r="E13" s="4" t="n">
        <v>22</v>
      </c>
      <c r="F13" s="4" t="n">
        <v>220</v>
      </c>
      <c r="G13" s="5" t="inlineStr">
        <is>
          <t>Must</t>
        </is>
      </c>
      <c r="H13" s="3" t="inlineStr">
        <is>
          <t>Voice acting for all 4 series. Instant voice clone, multi-language dubbing, commercial rights.</t>
        </is>
      </c>
      <c r="I13" s="6" t="inlineStr">
        <is>
          <t>https://elevenlabs.io/pricing</t>
        </is>
      </c>
      <c r="J13" s="3" t="inlineStr">
        <is>
          <t>Creator tier required for instant cloning. Pro ($99) only if you need &gt;100k chars/mo or dubbing studio.</t>
        </is>
      </c>
    </row>
    <row r="14">
      <c r="A14" s="3" t="inlineStr">
        <is>
          <t>AI music</t>
        </is>
      </c>
      <c r="B14" s="3" t="inlineStr">
        <is>
          <t>Suno Pro</t>
        </is>
      </c>
      <c r="C14" s="3" t="inlineStr">
        <is>
          <t>suno.com</t>
        </is>
      </c>
      <c r="D14" s="3" t="inlineStr">
        <is>
          <t>Pro ($10/mo)</t>
        </is>
      </c>
      <c r="E14" s="4" t="n">
        <v>10</v>
      </c>
      <c r="F14" s="4" t="n">
        <v>96</v>
      </c>
      <c r="G14" s="5" t="inlineStr">
        <is>
          <t>Must</t>
        </is>
      </c>
      <c r="H14" s="3" t="inlineStr">
        <is>
          <t>Original score per episode. Commercial-use included on Pro.</t>
        </is>
      </c>
      <c r="I14" s="6" t="inlineStr">
        <is>
          <t>https://suno.com/pricing</t>
        </is>
      </c>
      <c r="J14" s="3" t="inlineStr">
        <is>
          <t>Caveat: copyright lawsuits still pending May 2026 — keep proof of paid sub for indemnification, and avoid prompts that ape named artists.</t>
        </is>
      </c>
    </row>
    <row r="15">
      <c r="A15" s="3" t="inlineStr">
        <is>
          <t>Music alternative</t>
        </is>
      </c>
      <c r="B15" s="3" t="inlineStr">
        <is>
          <t>Udio Standard</t>
        </is>
      </c>
      <c r="C15" s="3" t="inlineStr">
        <is>
          <t>udio.com</t>
        </is>
      </c>
      <c r="D15" s="3" t="inlineStr">
        <is>
          <t>Standard</t>
        </is>
      </c>
      <c r="E15" s="4" t="n">
        <v>10</v>
      </c>
      <c r="F15" s="4" t="n">
        <v>96</v>
      </c>
      <c r="G15" s="7" t="inlineStr">
        <is>
          <t>Nice</t>
        </is>
      </c>
      <c r="H15" s="3" t="inlineStr">
        <is>
          <t>Backup music generator. Some genres work better than Suno.</t>
        </is>
      </c>
      <c r="I15" s="6" t="inlineStr">
        <is>
          <t>https://www.udio.com/pricing</t>
        </is>
      </c>
      <c r="J15" s="3" t="inlineStr">
        <is>
          <t>Optional second source. Pick one to start.</t>
        </is>
      </c>
    </row>
    <row r="16">
      <c r="A16" s="3" t="inlineStr">
        <is>
          <t>Licensed SFX + beds</t>
        </is>
      </c>
      <c r="B16" s="3" t="inlineStr">
        <is>
          <t>Epidemic Sound</t>
        </is>
      </c>
      <c r="C16" s="3" t="inlineStr">
        <is>
          <t>epidemicsound.com</t>
        </is>
      </c>
      <c r="D16" s="3" t="inlineStr">
        <is>
          <t>Personal $9/mo or Commercial $19/mo</t>
        </is>
      </c>
      <c r="E16" s="4" t="n">
        <v>19</v>
      </c>
      <c r="F16" s="4" t="n">
        <v>167</v>
      </c>
      <c r="G16" s="5" t="inlineStr">
        <is>
          <t>Must</t>
        </is>
      </c>
      <c r="H16" s="3" t="inlineStr">
        <is>
          <t>Licensed SFX, atmos beds, transitions. Safer than AI music for monetization on YouTube.</t>
        </is>
      </c>
      <c r="I16" s="6" t="inlineStr">
        <is>
          <t>https://www.epidemicsound.com/pricing/</t>
        </is>
      </c>
      <c r="J16" s="3" t="inlineStr">
        <is>
          <t>Commercial plan needed for monetized YouTube + brand deals. The 2026 wildlife/ambient library is strong for horror.</t>
        </is>
      </c>
    </row>
    <row r="17">
      <c r="A17" s="2" t="inlineStr">
        <is>
          <t>4. AI Images &amp; Thumbnails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3" t="inlineStr">
        <is>
          <t>Stills &amp; key art</t>
        </is>
      </c>
      <c r="B18" s="3" t="inlineStr">
        <is>
          <t>Midjourney</t>
        </is>
      </c>
      <c r="C18" s="3" t="inlineStr">
        <is>
          <t>midjourney.com</t>
        </is>
      </c>
      <c r="D18" s="3" t="inlineStr">
        <is>
          <t>Standard ($30/mo or $24/mo annual)</t>
        </is>
      </c>
      <c r="E18" s="4" t="n">
        <v>30</v>
      </c>
      <c r="F18" s="4" t="n">
        <v>288</v>
      </c>
      <c r="G18" s="5" t="inlineStr">
        <is>
          <t>Must</t>
        </is>
      </c>
      <c r="H18" s="3" t="inlineStr">
        <is>
          <t>Thumbnails, key art, reference stills for video character lock, posters</t>
        </is>
      </c>
      <c r="I18" s="6" t="inlineStr">
        <is>
          <t>https://docs.midjourney.com/docs/plans</t>
        </is>
      </c>
      <c r="J18" s="3" t="inlineStr">
        <is>
          <t>Standard gives unlimited Relax mode generations — plenty for daily thumbnails.</t>
        </is>
      </c>
    </row>
    <row r="19">
      <c r="A19" s="3" t="inlineStr">
        <is>
          <t>Stills alternative</t>
        </is>
      </c>
      <c r="B19" s="3" t="inlineStr">
        <is>
          <t>Flux Pro (via fal.ai or Replicate)</t>
        </is>
      </c>
      <c r="C19" s="3" t="inlineStr">
        <is>
          <t>fal.ai</t>
        </is>
      </c>
      <c r="D19" s="3" t="inlineStr">
        <is>
          <t>Pay-per-generation</t>
        </is>
      </c>
      <c r="E19" s="4" t="n">
        <v>10</v>
      </c>
      <c r="F19" s="4" t="n">
        <v>120</v>
      </c>
      <c r="G19" s="7" t="inlineStr">
        <is>
          <t>Nice</t>
        </is>
      </c>
      <c r="H19" s="3" t="inlineStr">
        <is>
          <t>Photorealistic stills, often beats MJ for face consistency</t>
        </is>
      </c>
      <c r="I19" s="6" t="inlineStr">
        <is>
          <t>https://fal.ai/pricing</t>
        </is>
      </c>
      <c r="J19" s="3" t="inlineStr">
        <is>
          <t>API only. ~$0.05 per image. Useful for batch reference generation.</t>
        </is>
      </c>
    </row>
    <row r="20">
      <c r="A20" s="2" t="inlineStr">
        <is>
          <t>5. Writing &amp; Reasoning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inlineStr">
        <is>
          <t>Scripts + planning + analyst</t>
        </is>
      </c>
      <c r="B21" s="3" t="inlineStr">
        <is>
          <t>Claude Pro</t>
        </is>
      </c>
      <c r="C21" s="3" t="inlineStr">
        <is>
          <t>claude.com</t>
        </is>
      </c>
      <c r="D21" s="3" t="inlineStr">
        <is>
          <t>Pro ($20/mo) — or Max for heavy use</t>
        </is>
      </c>
      <c r="E21" s="4" t="n">
        <v>20</v>
      </c>
      <c r="F21" s="4" t="n">
        <v>200</v>
      </c>
      <c r="G21" s="5" t="inlineStr">
        <is>
          <t>Must</t>
        </is>
      </c>
      <c r="H21" s="3" t="inlineStr">
        <is>
          <t>Script drafts, hook A/B variants, daily brief, analytics summaries</t>
        </is>
      </c>
      <c r="I21" s="6" t="inlineStr">
        <is>
          <t>https://www.anthropic.com/pricing</t>
        </is>
      </c>
      <c r="J21" s="3" t="inlineStr">
        <is>
          <t>Already in use via Cowork. Max ($100/mo) only if hitting limits.</t>
        </is>
      </c>
    </row>
    <row r="22">
      <c r="A22" s="3" t="inlineStr">
        <is>
          <t>Backup LLM</t>
        </is>
      </c>
      <c r="B22" s="3" t="inlineStr">
        <is>
          <t>ChatGPT Plus or Gemini Advanced</t>
        </is>
      </c>
      <c r="C22" s="3" t="inlineStr">
        <is>
          <t>openai.com / gemini.google.com</t>
        </is>
      </c>
      <c r="D22" s="3" t="inlineStr">
        <is>
          <t>Plus ($20/mo)</t>
        </is>
      </c>
      <c r="E22" s="4" t="n">
        <v>20</v>
      </c>
      <c r="F22" s="4" t="n">
        <v>200</v>
      </c>
      <c r="G22" s="7" t="inlineStr">
        <is>
          <t>Nice</t>
        </is>
      </c>
      <c r="H22" s="3" t="inlineStr">
        <is>
          <t>Second opinion + image gen variants (DALL·E, Imagen)</t>
        </is>
      </c>
      <c r="I22" s="6" t="inlineStr">
        <is>
          <t>https://openai.com/chatgpt/pricing/</t>
        </is>
      </c>
      <c r="J22" s="3" t="inlineStr">
        <is>
          <t>One backup is enough. Pick the one whose image model you prefer.</t>
        </is>
      </c>
    </row>
    <row r="23">
      <c r="A23" s="2" t="inlineStr">
        <is>
          <t>6. Editing &amp; Finishing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3" t="inlineStr">
        <is>
          <t>Vertical-native editor</t>
        </is>
      </c>
      <c r="B24" s="3" t="inlineStr">
        <is>
          <t>CapCut Pro</t>
        </is>
      </c>
      <c r="C24" s="3" t="inlineStr">
        <is>
          <t>capcut.com</t>
        </is>
      </c>
      <c r="D24" s="3" t="inlineStr">
        <is>
          <t>Pro ($7.99/mo or $74.99/yr)</t>
        </is>
      </c>
      <c r="E24" s="4" t="n">
        <v>8</v>
      </c>
      <c r="F24" s="4" t="n">
        <v>75</v>
      </c>
      <c r="G24" s="5" t="inlineStr">
        <is>
          <t>Must</t>
        </is>
      </c>
      <c r="H24" s="3" t="inlineStr">
        <is>
          <t>Final cut, captions, beats, hook overlays. Native 9:16 templates.</t>
        </is>
      </c>
      <c r="I24" s="6" t="inlineStr">
        <is>
          <t>https://www.capcut.com/pricing</t>
        </is>
      </c>
      <c r="J24" s="3" t="inlineStr">
        <is>
          <t>Fastest path for short-form. Use for episode assembly.</t>
        </is>
      </c>
    </row>
    <row r="25">
      <c r="A25" s="3" t="inlineStr">
        <is>
          <t>Color + finishing</t>
        </is>
      </c>
      <c r="B25" s="3" t="inlineStr">
        <is>
          <t>DaVinci Resolve Studio</t>
        </is>
      </c>
      <c r="C25" s="3" t="inlineStr">
        <is>
          <t>blackmagicdesign.com</t>
        </is>
      </c>
      <c r="D25" s="3" t="inlineStr">
        <is>
          <t>Perpetual license</t>
        </is>
      </c>
      <c r="E25" s="4" t="n">
        <v>0</v>
      </c>
      <c r="F25" s="4" t="n">
        <v>295</v>
      </c>
      <c r="G25" s="3" t="inlineStr">
        <is>
          <t>Should</t>
        </is>
      </c>
      <c r="H25" s="3" t="inlineStr">
        <is>
          <t>Color grading, advanced VFX, audio post. One-time purchase.</t>
        </is>
      </c>
      <c r="I25" s="6" t="inlineStr">
        <is>
          <t>https://www.blackmagicdesign.com/products/davinciresolve</t>
        </is>
      </c>
      <c r="J25" s="3" t="inlineStr">
        <is>
          <t>Free version covers 95% of needs; Studio adds neural engine, noise reduction. Buy once.</t>
        </is>
      </c>
    </row>
    <row r="26">
      <c r="A26" s="2" t="inlineStr">
        <is>
          <t>7. Storage &amp; Project Management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inlineStr">
        <is>
          <t>Master asset storage</t>
        </is>
      </c>
      <c r="B27" s="3" t="inlineStr">
        <is>
          <t>Google Drive (via Workspace)</t>
        </is>
      </c>
      <c r="C27" s="3" t="inlineStr">
        <is>
          <t>workspace.google.com</t>
        </is>
      </c>
      <c r="D27" s="3" t="inlineStr">
        <is>
          <t>Business Standard upgrade if needed</t>
        </is>
      </c>
      <c r="E27" s="4" t="n">
        <v>0</v>
      </c>
      <c r="F27" s="4" t="n">
        <v>0</v>
      </c>
      <c r="G27" s="5" t="inlineStr">
        <is>
          <t>Must</t>
        </is>
      </c>
      <c r="H27" s="3" t="inlineStr">
        <is>
          <t>Master files per series, exports, raw generations</t>
        </is>
      </c>
      <c r="I27" s="6" t="inlineStr">
        <is>
          <t>https://workspace.google.com/pricing.html</t>
        </is>
      </c>
      <c r="J27" s="3" t="inlineStr">
        <is>
          <t>Business Starter gives 30GB/user. Upgrade to Standard ($14/mo) for 2TB when needed.</t>
        </is>
      </c>
    </row>
    <row r="28">
      <c r="A28" s="3" t="inlineStr">
        <is>
          <t>Review &amp; feedback</t>
        </is>
      </c>
      <c r="B28" s="3" t="inlineStr">
        <is>
          <t>Frame.io</t>
        </is>
      </c>
      <c r="C28" s="3" t="inlineStr">
        <is>
          <t>frame.io</t>
        </is>
      </c>
      <c r="D28" s="3" t="inlineStr">
        <is>
          <t>Free or Pro $15/mo</t>
        </is>
      </c>
      <c r="E28" s="4" t="n">
        <v>0</v>
      </c>
      <c r="F28" s="4" t="n">
        <v>0</v>
      </c>
      <c r="G28" s="7" t="inlineStr">
        <is>
          <t>Nice</t>
        </is>
      </c>
      <c r="H28" s="3" t="inlineStr">
        <is>
          <t>Time-coded comments on cuts before publishing</t>
        </is>
      </c>
      <c r="I28" s="6" t="inlineStr">
        <is>
          <t>https://www.frame.io/pricing</t>
        </is>
      </c>
      <c r="J28" s="3" t="inlineStr">
        <is>
          <t>Free tier is fine for solo. Pay only when collaborators arrive.</t>
        </is>
      </c>
    </row>
    <row r="29">
      <c r="A29" s="3" t="inlineStr">
        <is>
          <t>Production board</t>
        </is>
      </c>
      <c r="B29" s="3" t="inlineStr">
        <is>
          <t>Notion</t>
        </is>
      </c>
      <c r="C29" s="3" t="inlineStr">
        <is>
          <t>notion.so</t>
        </is>
      </c>
      <c r="D29" s="3" t="inlineStr">
        <is>
          <t>Plus ($10/mo)</t>
        </is>
      </c>
      <c r="E29" s="4" t="n">
        <v>10</v>
      </c>
      <c r="F29" s="4" t="n">
        <v>96</v>
      </c>
      <c r="G29" s="5" t="inlineStr">
        <is>
          <t>Must</t>
        </is>
      </c>
      <c r="H29" s="3" t="inlineStr">
        <is>
          <t>Series board: scripts → storyboard → generation → cut → posted. Token registry.</t>
        </is>
      </c>
      <c r="I29" s="6" t="inlineStr">
        <is>
          <t>https://www.notion.com/pricing</t>
        </is>
      </c>
      <c r="J29" s="3" t="inlineStr">
        <is>
          <t>Free works solo; Plus only when collaborators arrive.</t>
        </is>
      </c>
    </row>
    <row r="30">
      <c r="A30" s="2" t="inlineStr">
        <is>
          <t>8. Posting, Scheduling &amp; Analytics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3" t="inlineStr">
        <is>
          <t>Multi-platform scheduler</t>
        </is>
      </c>
      <c r="B31" s="3" t="inlineStr">
        <is>
          <t>Metricool</t>
        </is>
      </c>
      <c r="C31" s="3" t="inlineStr">
        <is>
          <t>metricool.com</t>
        </is>
      </c>
      <c r="D31" s="3" t="inlineStr">
        <is>
          <t>Starter ($22/mo) or Advanced ($54/mo)</t>
        </is>
      </c>
      <c r="E31" s="4" t="n">
        <v>22</v>
      </c>
      <c r="F31" s="4" t="n">
        <v>216</v>
      </c>
      <c r="G31" s="5" t="inlineStr">
        <is>
          <t>Must</t>
        </is>
      </c>
      <c r="H31" s="3" t="inlineStr">
        <is>
          <t>Schedule TikTok + YT Shorts + Reels from one dashboard, with analytics built in. Skips Meta API verification pain.</t>
        </is>
      </c>
      <c r="I31" s="6" t="inlineStr">
        <is>
          <t>https://metricool.com/pricing/</t>
        </is>
      </c>
      <c r="J31" s="3" t="inlineStr">
        <is>
          <t>Best price/feature ratio in 2026. Alternative: Publer (cheaper, $12/mo) or Buffer ($15/mo).</t>
        </is>
      </c>
    </row>
    <row r="32">
      <c r="A32" s="3" t="inlineStr">
        <is>
          <t>TikTok trend research</t>
        </is>
      </c>
      <c r="B32" s="3" t="inlineStr">
        <is>
          <t>TikTok Creative Center</t>
        </is>
      </c>
      <c r="C32" s="3" t="inlineStr">
        <is>
          <t>ads.tiktok.com/business/creativecenter</t>
        </is>
      </c>
      <c r="D32" s="3" t="inlineStr">
        <is>
          <t>Free</t>
        </is>
      </c>
      <c r="E32" s="4" t="n">
        <v>0</v>
      </c>
      <c r="F32" s="4" t="n">
        <v>0</v>
      </c>
      <c r="G32" s="5" t="inlineStr">
        <is>
          <t>Must</t>
        </is>
      </c>
      <c r="H32" s="3" t="inlineStr">
        <is>
          <t>Hooks, songs, hashtags by region/day. Daily input to brief.</t>
        </is>
      </c>
      <c r="I32" s="6" t="inlineStr">
        <is>
          <t>https://ads.tiktok.com/business/creativecenter/</t>
        </is>
      </c>
      <c r="J32" s="3" t="inlineStr">
        <is>
          <t>Free with any TikTok account.</t>
        </is>
      </c>
    </row>
    <row r="33">
      <c r="A33" s="2" t="inlineStr">
        <is>
          <t>9. Scale-up extras (Phase 2)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3" t="inlineStr">
        <is>
          <t>AI super-stack</t>
        </is>
      </c>
      <c r="B34" s="3" t="inlineStr">
        <is>
          <t>Google AI Ultra (incl. Veo 3.1 generous quota + Gemini Advanced + 2TB)</t>
        </is>
      </c>
      <c r="C34" s="3" t="inlineStr">
        <is>
          <t>one.google.com/about/ai-premium</t>
        </is>
      </c>
      <c r="D34" s="3" t="inlineStr">
        <is>
          <t>Ultra (~$125/mo, was $250 in 2025)</t>
        </is>
      </c>
      <c r="E34" s="4" t="n">
        <v>125</v>
      </c>
      <c r="F34" s="4" t="n">
        <v>1500</v>
      </c>
      <c r="G34" s="7" t="inlineStr">
        <is>
          <t>Nice</t>
        </is>
      </c>
      <c r="H34" s="3" t="inlineStr">
        <is>
          <t>Heavy-volume Veo 3.1 access without Vertex billing hassle, plus Gemini + storage in one plan</t>
        </is>
      </c>
      <c r="I34" s="6" t="inlineStr">
        <is>
          <t>https://one.google.com/about/ai-premium</t>
        </is>
      </c>
      <c r="J34" s="3" t="inlineStr">
        <is>
          <t>Only worth it when you're generating &gt;100 minutes of Veo per month.</t>
        </is>
      </c>
    </row>
    <row r="35">
      <c r="A35" s="3" t="inlineStr">
        <is>
          <t>Boost ads</t>
        </is>
      </c>
      <c r="B35" s="3" t="inlineStr">
        <is>
          <t>TikTok Promote + YouTube Promotions</t>
        </is>
      </c>
      <c r="C35" s="3" t="inlineStr">
        <is>
          <t>Inside each platform</t>
        </is>
      </c>
      <c r="D35" s="3" t="inlineStr">
        <is>
          <t>Pay-as-you-go</t>
        </is>
      </c>
      <c r="E35" s="4" t="n">
        <v>200</v>
      </c>
      <c r="F35" s="4" t="n">
        <v>2400</v>
      </c>
      <c r="G35" s="7" t="inlineStr">
        <is>
          <t>Nice</t>
        </is>
      </c>
      <c r="H35" s="3" t="inlineStr">
        <is>
          <t>Boost the top-performing organic episode each week</t>
        </is>
      </c>
      <c r="I35" s="6" t="inlineStr">
        <is>
          <t>https://ads.tiktok.com/</t>
        </is>
      </c>
      <c r="J35" s="3" t="inlineStr">
        <is>
          <t>Plan ~$50/series/week starting month 2 for organic-winners only. Never boost a flop.</t>
        </is>
      </c>
    </row>
  </sheetData>
  <hyperlinks>
    <hyperlink xmlns:r="http://schemas.openxmlformats.org/officeDocument/2006/relationships" ref="I3" r:id="rId1"/>
    <hyperlink xmlns:r="http://schemas.openxmlformats.org/officeDocument/2006/relationships" ref="I4" r:id="rId2"/>
    <hyperlink xmlns:r="http://schemas.openxmlformats.org/officeDocument/2006/relationships" ref="I5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  <hyperlink xmlns:r="http://schemas.openxmlformats.org/officeDocument/2006/relationships" ref="I11" r:id="rId7"/>
    <hyperlink xmlns:r="http://schemas.openxmlformats.org/officeDocument/2006/relationships" ref="I13" r:id="rId8"/>
    <hyperlink xmlns:r="http://schemas.openxmlformats.org/officeDocument/2006/relationships" ref="I14" r:id="rId9"/>
    <hyperlink xmlns:r="http://schemas.openxmlformats.org/officeDocument/2006/relationships" ref="I15" r:id="rId10"/>
    <hyperlink xmlns:r="http://schemas.openxmlformats.org/officeDocument/2006/relationships" ref="I16" r:id="rId11"/>
    <hyperlink xmlns:r="http://schemas.openxmlformats.org/officeDocument/2006/relationships" ref="I18" r:id="rId12"/>
    <hyperlink xmlns:r="http://schemas.openxmlformats.org/officeDocument/2006/relationships" ref="I19" r:id="rId13"/>
    <hyperlink xmlns:r="http://schemas.openxmlformats.org/officeDocument/2006/relationships" ref="I21" r:id="rId14"/>
    <hyperlink xmlns:r="http://schemas.openxmlformats.org/officeDocument/2006/relationships" ref="I22" r:id="rId15"/>
    <hyperlink xmlns:r="http://schemas.openxmlformats.org/officeDocument/2006/relationships" ref="I24" r:id="rId16"/>
    <hyperlink xmlns:r="http://schemas.openxmlformats.org/officeDocument/2006/relationships" ref="I25" r:id="rId17"/>
    <hyperlink xmlns:r="http://schemas.openxmlformats.org/officeDocument/2006/relationships" ref="I27" r:id="rId18"/>
    <hyperlink xmlns:r="http://schemas.openxmlformats.org/officeDocument/2006/relationships" ref="I28" r:id="rId19"/>
    <hyperlink xmlns:r="http://schemas.openxmlformats.org/officeDocument/2006/relationships" ref="I29" r:id="rId20"/>
    <hyperlink xmlns:r="http://schemas.openxmlformats.org/officeDocument/2006/relationships" ref="I31" r:id="rId21"/>
    <hyperlink xmlns:r="http://schemas.openxmlformats.org/officeDocument/2006/relationships" ref="I32" r:id="rId22"/>
    <hyperlink xmlns:r="http://schemas.openxmlformats.org/officeDocument/2006/relationships" ref="I34" r:id="rId23"/>
    <hyperlink xmlns:r="http://schemas.openxmlformats.org/officeDocument/2006/relationships" ref="I35" r:id="rId2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16" customWidth="1" min="2" max="2"/>
    <col width="22" customWidth="1" min="3" max="3"/>
  </cols>
  <sheetData>
    <row r="1">
      <c r="A1" s="8" t="inlineStr">
        <is>
          <t>Phased monthly subscription budget (USD)</t>
        </is>
      </c>
    </row>
    <row r="3">
      <c r="A3" s="1" t="inlineStr">
        <is>
          <t>Phase 1 — MVP launch stack (must-haves only)</t>
        </is>
      </c>
      <c r="B3" s="1" t="inlineStr">
        <is>
          <t>Monthly</t>
        </is>
      </c>
      <c r="C3" s="1" t="inlineStr">
        <is>
          <t>Annual (billed yearly)</t>
        </is>
      </c>
    </row>
    <row r="4">
      <c r="A4" s="9" t="inlineStr">
        <is>
          <t>Domain (Cloudflare)</t>
        </is>
      </c>
      <c r="B4" s="10" t="n">
        <v>0</v>
      </c>
      <c r="C4" s="10" t="n">
        <v>12</v>
      </c>
    </row>
    <row r="5">
      <c r="A5" s="9" t="inlineStr">
        <is>
          <t>Google Workspace — Business Starter</t>
        </is>
      </c>
      <c r="B5" s="10" t="n">
        <v>6</v>
      </c>
      <c r="C5" s="10" t="n">
        <v>72</v>
      </c>
    </row>
    <row r="6">
      <c r="A6" s="9" t="inlineStr">
        <is>
          <t>1Password — Individual</t>
        </is>
      </c>
      <c r="B6" s="10" t="n">
        <v>3</v>
      </c>
      <c r="C6" s="10" t="n">
        <v>36</v>
      </c>
    </row>
    <row r="7">
      <c r="A7" s="9" t="inlineStr">
        <is>
          <t>SIM data plan</t>
        </is>
      </c>
      <c r="B7" s="10" t="n">
        <v>10</v>
      </c>
      <c r="C7" s="10" t="n">
        <v>120</v>
      </c>
    </row>
    <row r="8">
      <c r="A8" s="9" t="inlineStr">
        <is>
          <t>Runway Pro</t>
        </is>
      </c>
      <c r="B8" s="10" t="n">
        <v>35</v>
      </c>
      <c r="C8" s="10" t="n">
        <v>336</v>
      </c>
    </row>
    <row r="9">
      <c r="A9" s="9" t="inlineStr">
        <is>
          <t>ElevenLabs Creator</t>
        </is>
      </c>
      <c r="B9" s="10" t="n">
        <v>22</v>
      </c>
      <c r="C9" s="10" t="n">
        <v>220</v>
      </c>
    </row>
    <row r="10">
      <c r="A10" s="9" t="inlineStr">
        <is>
          <t>Suno Pro</t>
        </is>
      </c>
      <c r="B10" s="10" t="n">
        <v>10</v>
      </c>
      <c r="C10" s="10" t="n">
        <v>96</v>
      </c>
    </row>
    <row r="11">
      <c r="A11" s="9" t="inlineStr">
        <is>
          <t>Epidemic Sound Commercial</t>
        </is>
      </c>
      <c r="B11" s="10" t="n">
        <v>19</v>
      </c>
      <c r="C11" s="10" t="n">
        <v>167</v>
      </c>
    </row>
    <row r="12">
      <c r="A12" s="9" t="inlineStr">
        <is>
          <t>Midjourney Standard</t>
        </is>
      </c>
      <c r="B12" s="10" t="n">
        <v>30</v>
      </c>
      <c r="C12" s="10" t="n">
        <v>288</v>
      </c>
    </row>
    <row r="13">
      <c r="A13" s="9" t="inlineStr">
        <is>
          <t>Claude Pro</t>
        </is>
      </c>
      <c r="B13" s="10" t="n">
        <v>20</v>
      </c>
      <c r="C13" s="10" t="n">
        <v>200</v>
      </c>
    </row>
    <row r="14">
      <c r="A14" s="9" t="inlineStr">
        <is>
          <t>CapCut Pro</t>
        </is>
      </c>
      <c r="B14" s="10" t="n">
        <v>8</v>
      </c>
      <c r="C14" s="10" t="n">
        <v>75</v>
      </c>
    </row>
    <row r="15">
      <c r="A15" s="9" t="inlineStr">
        <is>
          <t>Notion Plus</t>
        </is>
      </c>
      <c r="B15" s="10" t="n">
        <v>10</v>
      </c>
      <c r="C15" s="10" t="n">
        <v>96</v>
      </c>
    </row>
    <row r="16">
      <c r="A16" s="9" t="inlineStr">
        <is>
          <t>Metricool Starter</t>
        </is>
      </c>
      <c r="B16" s="10" t="n">
        <v>22</v>
      </c>
      <c r="C16" s="10" t="n">
        <v>216</v>
      </c>
    </row>
    <row r="17">
      <c r="A17" s="11" t="inlineStr">
        <is>
          <t>Phase 1 TOTAL</t>
        </is>
      </c>
      <c r="B17" s="12">
        <f>SUM(B4:B16)</f>
        <v/>
      </c>
      <c r="C17" s="12">
        <f>SUM(C4:C16)</f>
        <v/>
      </c>
    </row>
    <row r="19">
      <c r="A19" s="11" t="inlineStr">
        <is>
          <t>Phase 2 — Scale add-ons (when &gt;2 episodes/day)</t>
        </is>
      </c>
      <c r="B19" s="11" t="inlineStr">
        <is>
          <t>Monthly</t>
        </is>
      </c>
      <c r="C19" s="11" t="inlineStr">
        <is>
          <t>Annual</t>
        </is>
      </c>
    </row>
    <row r="20">
      <c r="A20" s="9" t="inlineStr">
        <is>
          <t>Runway Unlimited (upgrade from Pro)</t>
        </is>
      </c>
      <c r="B20" s="10" t="n">
        <v>60</v>
      </c>
      <c r="C20" s="10" t="n">
        <v>480</v>
      </c>
    </row>
    <row r="21">
      <c r="A21" s="9" t="inlineStr">
        <is>
          <t>Hedra Pro (lip-sync)</t>
        </is>
      </c>
      <c r="B21" s="10" t="n">
        <v>19</v>
      </c>
      <c r="C21" s="10" t="n">
        <v>180</v>
      </c>
    </row>
    <row r="22">
      <c r="A22" s="9" t="inlineStr">
        <is>
          <t>Topaz Video AI (one-time, annualized)</t>
        </is>
      </c>
      <c r="B22" s="10" t="n">
        <v>0</v>
      </c>
      <c r="C22" s="10" t="n">
        <v>299</v>
      </c>
    </row>
    <row r="23">
      <c r="A23" s="9" t="inlineStr">
        <is>
          <t>DaVinci Resolve Studio (one-time, annualized)</t>
        </is>
      </c>
      <c r="B23" s="10" t="n">
        <v>0</v>
      </c>
      <c r="C23" s="10" t="n">
        <v>295</v>
      </c>
    </row>
    <row r="24">
      <c r="A24" s="9" t="inlineStr">
        <is>
          <t>Google AI Ultra (Veo 3.1 quota)</t>
        </is>
      </c>
      <c r="B24" s="10" t="n">
        <v>125</v>
      </c>
      <c r="C24" s="10" t="n">
        <v>1500</v>
      </c>
    </row>
    <row r="25">
      <c r="A25" s="9" t="inlineStr">
        <is>
          <t>Boost ads budget (across 4 series)</t>
        </is>
      </c>
      <c r="B25" s="10" t="n">
        <v>200</v>
      </c>
      <c r="C25" s="10" t="n">
        <v>2400</v>
      </c>
    </row>
    <row r="26">
      <c r="A26" s="11" t="inlineStr">
        <is>
          <t>Phase 2 ADD-ONS TOTAL</t>
        </is>
      </c>
      <c r="B26" s="12">
        <f>SUM(B20:B25)</f>
        <v/>
      </c>
      <c r="C26" s="12">
        <f>SUM(C20:C25)</f>
        <v/>
      </c>
    </row>
    <row r="28">
      <c r="A28" s="11" t="inlineStr">
        <is>
          <t>COMBINED (Phase 1 + Phase 2)</t>
        </is>
      </c>
      <c r="B28" s="12">
        <f>B17+B26</f>
        <v/>
      </c>
      <c r="C28" s="12">
        <f>C17+C26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  <col width="60" customWidth="1" min="3" max="3"/>
    <col width="18" customWidth="1" min="4" max="4"/>
  </cols>
  <sheetData>
    <row r="1" ht="30" customHeight="1">
      <c r="A1" s="1" t="inlineStr">
        <is>
          <t>Day</t>
        </is>
      </c>
      <c r="B1" s="1" t="inlineStr">
        <is>
          <t>What to buy / sign up</t>
        </is>
      </c>
      <c r="C1" s="1" t="inlineStr">
        <is>
          <t>Why this order</t>
        </is>
      </c>
      <c r="D1" s="1" t="inlineStr">
        <is>
          <t>Time needed</t>
        </is>
      </c>
    </row>
    <row r="2">
      <c r="A2" s="3" t="inlineStr">
        <is>
          <t>Day 1 — AM</t>
        </is>
      </c>
      <c r="B2" s="3" t="inlineStr">
        <is>
          <t>Domain (Cloudflare) + Google Workspace + 1Password</t>
        </is>
      </c>
      <c r="C2" s="3" t="inlineStr">
        <is>
          <t>Real email addresses unlock everything else cleanly. Don't register a single platform account before this.</t>
        </is>
      </c>
      <c r="D2" s="3" t="inlineStr">
        <is>
          <t>1 hour</t>
        </is>
      </c>
    </row>
    <row r="3">
      <c r="A3" s="3" t="inlineStr">
        <is>
          <t>Day 1 — PM</t>
        </is>
      </c>
      <c r="B3" s="3" t="inlineStr">
        <is>
          <t>SIM data plan + 1Password seeding 2FA</t>
        </is>
      </c>
      <c r="C3" s="3" t="inlineStr">
        <is>
          <t>All future verifications go through this number and vault.</t>
        </is>
      </c>
      <c r="D3" s="3" t="inlineStr">
        <is>
          <t>30 min</t>
        </is>
      </c>
    </row>
    <row r="4">
      <c r="A4" s="3" t="inlineStr">
        <is>
          <t>Day 2</t>
        </is>
      </c>
      <c r="B4" s="3" t="inlineStr">
        <is>
          <t>TikTok Business + YouTube Brand + Instagram Business accounts (x4 series)</t>
        </is>
      </c>
      <c r="C4" s="3" t="inlineStr">
        <is>
          <t>Use freshly created emails. Upload 1 placeholder video per channel to unlock API eligibility.</t>
        </is>
      </c>
      <c r="D4" s="3" t="inlineStr">
        <is>
          <t>3–4 hours</t>
        </is>
      </c>
    </row>
    <row r="5">
      <c r="A5" s="3" t="inlineStr">
        <is>
          <t>Day 2</t>
        </is>
      </c>
      <c r="B5" s="3" t="inlineStr">
        <is>
          <t>Claude Pro + Notion Plus</t>
        </is>
      </c>
      <c r="C5" s="3" t="inlineStr">
        <is>
          <t>Get your daily brief + production board running immediately.</t>
        </is>
      </c>
      <c r="D5" s="3" t="inlineStr">
        <is>
          <t>20 min</t>
        </is>
      </c>
    </row>
    <row r="6">
      <c r="A6" s="3" t="inlineStr">
        <is>
          <t>Day 3</t>
        </is>
      </c>
      <c r="B6" s="3" t="inlineStr">
        <is>
          <t>Runway Pro + ElevenLabs Creator + Midjourney Standard</t>
        </is>
      </c>
      <c r="C6" s="3" t="inlineStr">
        <is>
          <t>Core generation trio. Test outputs on each series before moving on.</t>
        </is>
      </c>
      <c r="D6" s="3" t="inlineStr">
        <is>
          <t>1 hour signup + test</t>
        </is>
      </c>
    </row>
    <row r="7">
      <c r="A7" s="3" t="inlineStr">
        <is>
          <t>Day 4</t>
        </is>
      </c>
      <c r="B7" s="3" t="inlineStr">
        <is>
          <t>Suno Pro + Epidemic Sound Commercial + CapCut Pro</t>
        </is>
      </c>
      <c r="C7" s="3" t="inlineStr">
        <is>
          <t>Audio + final cut chain. Now you can assemble a full episode end-to-end.</t>
        </is>
      </c>
      <c r="D7" s="3" t="inlineStr">
        <is>
          <t>1 hour</t>
        </is>
      </c>
    </row>
    <row r="8">
      <c r="A8" s="3" t="inlineStr">
        <is>
          <t>Day 5</t>
        </is>
      </c>
      <c r="B8" s="3" t="inlineStr">
        <is>
          <t>Metricool Starter (or chosen scheduler)</t>
        </is>
      </c>
      <c r="C8" s="3" t="inlineStr">
        <is>
          <t>Connect all 12 social accounts to one dashboard. Test a draft post.</t>
        </is>
      </c>
      <c r="D8" s="3" t="inlineStr">
        <is>
          <t>1 hour</t>
        </is>
      </c>
    </row>
    <row r="9">
      <c r="A9" s="3" t="inlineStr">
        <is>
          <t>Day 6–14</t>
        </is>
      </c>
      <c r="B9" s="3" t="inlineStr">
        <is>
          <t>TikTok Developer + YouTube Data API + Meta Developer apps</t>
        </is>
      </c>
      <c r="C9" s="3" t="inlineStr">
        <is>
          <t>File API access requests now — approvals take 1–4 weeks. Use Metricool meanwhile.</t>
        </is>
      </c>
      <c r="D9" s="3" t="inlineStr">
        <is>
          <t>2 hours filing + waiting</t>
        </is>
      </c>
    </row>
    <row r="10">
      <c r="A10" s="3" t="inlineStr">
        <is>
          <t>Day 15+</t>
        </is>
      </c>
      <c r="B10" s="3" t="inlineStr">
        <is>
          <t>Add Hedra / Topaz / DaVinci Studio when first episode demands them</t>
        </is>
      </c>
      <c r="C10" s="3" t="inlineStr">
        <is>
          <t>Don't pre-buy. Buy on the day you can't proceed without it.</t>
        </is>
      </c>
      <c r="D10" s="3" t="inlineStr">
        <is>
          <t>as needed</t>
        </is>
      </c>
    </row>
    <row r="11">
      <c r="A11" s="3" t="inlineStr">
        <is>
          <t>Month 2</t>
        </is>
      </c>
      <c r="B11" s="3" t="inlineStr">
        <is>
          <t>Boost ads budget + Google AI Ultra (only if Runway credits run out)</t>
        </is>
      </c>
      <c r="C11" s="3" t="inlineStr">
        <is>
          <t>Both only after you have organic data to know where to invest.</t>
        </is>
      </c>
      <c r="D11" s="3" t="inlineStr">
        <is>
          <t>ongoing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18" customWidth="1" min="3" max="3"/>
    <col width="22" customWidth="1" min="4" max="4"/>
  </cols>
  <sheetData>
    <row r="1">
      <c r="A1" s="8" t="inlineStr">
        <is>
          <t>Variable cost per generated 60-second vertical episode (estimate)</t>
        </is>
      </c>
    </row>
    <row r="3">
      <c r="A3" s="1" t="inlineStr">
        <is>
          <t>Item</t>
        </is>
      </c>
      <c r="B3" s="1" t="inlineStr">
        <is>
          <t>Unit cost (USD)</t>
        </is>
      </c>
      <c r="C3" s="1" t="inlineStr">
        <is>
          <t>Units per episode</t>
        </is>
      </c>
      <c r="D3" s="1" t="inlineStr">
        <is>
          <t>Cost per episode (USD)</t>
        </is>
      </c>
    </row>
    <row r="4">
      <c r="A4" s="9" t="inlineStr">
        <is>
          <t>Video generation — Runway credits (Pro tier)</t>
        </is>
      </c>
      <c r="B4" s="13" t="n">
        <v>0.5</v>
      </c>
      <c r="C4" s="14" t="n">
        <v>12</v>
      </c>
      <c r="D4" s="13">
        <f>B4*C4</f>
        <v/>
      </c>
    </row>
    <row r="5">
      <c r="A5" s="9" t="inlineStr">
        <is>
          <t>Voice — ElevenLabs (included in Creator quota)</t>
        </is>
      </c>
      <c r="B5" s="13" t="n">
        <v>0</v>
      </c>
      <c r="C5" s="14" t="n">
        <v>1</v>
      </c>
      <c r="D5" s="13">
        <f>B5*C5</f>
        <v/>
      </c>
    </row>
    <row r="6">
      <c r="A6" s="9" t="inlineStr">
        <is>
          <t>Music — Suno (included in Pro quota)</t>
        </is>
      </c>
      <c r="B6" s="13" t="n">
        <v>0</v>
      </c>
      <c r="C6" s="14" t="n">
        <v>1</v>
      </c>
      <c r="D6" s="13">
        <f>B6*C6</f>
        <v/>
      </c>
    </row>
    <row r="7">
      <c r="A7" s="9" t="inlineStr">
        <is>
          <t>SFX — Epidemic Sound (flat-rate sub)</t>
        </is>
      </c>
      <c r="B7" s="13" t="n">
        <v>0</v>
      </c>
      <c r="C7" s="14" t="n">
        <v>1</v>
      </c>
      <c r="D7" s="13">
        <f>B7*C7</f>
        <v/>
      </c>
    </row>
    <row r="8">
      <c r="A8" s="9" t="inlineStr">
        <is>
          <t>Thumbnail — Midjourney (included in Standard)</t>
        </is>
      </c>
      <c r="B8" s="13" t="n">
        <v>0</v>
      </c>
      <c r="C8" s="14" t="n">
        <v>1</v>
      </c>
      <c r="D8" s="13">
        <f>B8*C8</f>
        <v/>
      </c>
    </row>
    <row r="9">
      <c r="A9" s="9" t="inlineStr">
        <is>
          <t>Upscale — Topaz (one-time license)</t>
        </is>
      </c>
      <c r="B9" s="13" t="n">
        <v>0</v>
      </c>
      <c r="C9" s="14" t="n">
        <v>1</v>
      </c>
      <c r="D9" s="13">
        <f>B9*C9</f>
        <v/>
      </c>
    </row>
    <row r="10">
      <c r="A10" s="9" t="inlineStr">
        <is>
          <t>Editing time — CapCut (sub flat-rate)</t>
        </is>
      </c>
      <c r="B10" s="13" t="n">
        <v>0</v>
      </c>
      <c r="C10" s="14" t="n">
        <v>1</v>
      </c>
      <c r="D10" s="13">
        <f>B10*C10</f>
        <v/>
      </c>
    </row>
    <row r="11">
      <c r="A11" s="11" t="inlineStr">
        <is>
          <t>Variable cost per episode</t>
        </is>
      </c>
      <c r="B11" s="11" t="n"/>
      <c r="C11" s="11" t="n"/>
      <c r="D11" s="15">
        <f>SUM(D4:D10)</f>
        <v/>
      </c>
    </row>
    <row r="13">
      <c r="A13" s="16" t="inlineStr">
        <is>
          <t>NOTE: Fixed subscription cost is amortized separately. At 4 series × 5 ep/wk = 80 ep/mo, MVP fixed cost of ~$195/mo equals ~$2.44 amortized cost per episode on top of variable.</t>
        </is>
      </c>
    </row>
  </sheetData>
  <mergeCells count="1">
    <mergeCell ref="A13:D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2026-05-18T13:45:17Z</dcterms:created>
  <dcterms:modified xmlns:dcterms="http://purl.org/dc/terms/" xmlns:xsi="http://www.w3.org/2001/XMLSchema-instance" xsi:type="dcterms:W3CDTF">2026-05-18T13:45:17Z</dcterms:modified>
</cp:coreProperties>
</file>