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erEpisode" sheetId="3" state="visible" r:id="rId3"/>
    <sheet xmlns:r="http://schemas.openxmlformats.org/officeDocument/2006/relationships" name="Weekly" sheetId="4" state="visible" r:id="rId4"/>
    <sheet xmlns:r="http://schemas.openxmlformats.org/officeDocument/2006/relationships" name="Monthly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KP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#,##0.000"/>
    <numFmt numFmtId="166" formatCode="0.00x"/>
    <numFmt numFmtId="167" formatCode="0.0"/>
    <numFmt numFmtId="168" formatCode="$#,##0"/>
    <numFmt numFmtId="169" formatCode="+$#,##0.000;-$#,##0.000;-"/>
    <numFmt numFmtId="170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color rgb="00008000"/>
      <sz val="11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7F7F7F"/>
      <sz val="10"/>
    </font>
    <font>
      <name val="Arial"/>
      <color rgb="001F3864"/>
      <sz val="11"/>
    </font>
    <font>
      <name val="Arial"/>
      <b val="1"/>
      <color rgb="001F3864"/>
      <sz val="11"/>
    </font>
    <font>
      <name val="Arial"/>
      <b val="1"/>
      <color rgb="001F3864"/>
      <sz val="12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9" fillId="2" borderId="1" applyAlignment="1" pivotButton="0" quotePrefix="0" xfId="0">
      <alignment horizontal="left" vertical="center" wrapText="1"/>
    </xf>
    <xf numFmtId="164" fontId="13" fillId="2" borderId="1" applyAlignment="1" pivotButton="0" quotePrefix="0" xfId="0">
      <alignment horizontal="right"/>
    </xf>
    <xf numFmtId="164" fontId="11" fillId="2" borderId="1" applyAlignment="1" pivotButton="0" quotePrefix="0" xfId="0">
      <alignment horizontal="right"/>
    </xf>
    <xf numFmtId="164" fontId="14" fillId="0" borderId="1" applyAlignment="1" pivotButton="0" quotePrefix="0" xfId="0">
      <alignment horizontal="right"/>
    </xf>
    <xf numFmtId="167" fontId="11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170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Vertical Studio</author>
  </authors>
  <commentList>
    <comment ref="H12" authorId="0" shapeId="0">
      <text>
        <t>APPROVAL GATE: Owner reviews this number on Monday morning. Default cap: $40/week.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VERTICAL STUDIO — PRODUCTION BUDGET</t>
        </is>
      </c>
    </row>
    <row r="3">
      <c r="A3" s="2" t="inlineStr">
        <is>
          <t>Sheets:</t>
        </is>
      </c>
    </row>
    <row r="4">
      <c r="A4" s="3" t="inlineStr">
        <is>
          <t>Inputs</t>
        </is>
      </c>
      <c r="B4" s="4" t="inlineStr">
        <is>
          <t>All adjustable assumptions in blue. Edit only here. The rest of the model recalculates.</t>
        </is>
      </c>
    </row>
    <row r="5">
      <c r="A5" s="3" t="inlineStr">
        <is>
          <t>PerEpisode</t>
        </is>
      </c>
      <c r="B5" s="4" t="inlineStr">
        <is>
          <t>Cost build per single episode by series. Inputs flow here as formulas (green).</t>
        </is>
      </c>
    </row>
    <row r="6">
      <c r="A6" s="3" t="inlineStr">
        <is>
          <t>Weekly</t>
        </is>
      </c>
      <c r="B6" s="4" t="inlineStr">
        <is>
          <t>Weekly 8-episode plan with budget approval line. Owner approves the yellow cell.</t>
        </is>
      </c>
    </row>
    <row r="7">
      <c r="A7" s="3" t="inlineStr">
        <is>
          <t>Monthly</t>
        </is>
      </c>
      <c r="B7" s="4" t="inlineStr">
        <is>
          <t>Three rolling scenarios (base, scale, kill-low) with monthly run-rate.</t>
        </is>
      </c>
    </row>
    <row r="8">
      <c r="A8" s="3" t="inlineStr">
        <is>
          <t>Scenarios</t>
        </is>
      </c>
      <c r="B8" s="4" t="inlineStr">
        <is>
          <t>What-if: token-price up 50%, Sora down, voiceover x2 quality.</t>
        </is>
      </c>
    </row>
    <row r="9">
      <c r="A9" s="3" t="inlineStr">
        <is>
          <t>KPIs</t>
        </is>
      </c>
      <c r="B9" s="4" t="inlineStr">
        <is>
          <t>Day-30, Day-60, Day-90 targets and computed cost per 1k views.</t>
        </is>
      </c>
    </row>
    <row r="12">
      <c r="A12" s="2" t="inlineStr">
        <is>
          <t>Color code:</t>
        </is>
      </c>
    </row>
    <row r="13">
      <c r="A13" s="5" t="inlineStr">
        <is>
          <t>Blue text</t>
        </is>
      </c>
      <c r="B13" t="inlineStr">
        <is>
          <t>Hardcoded input — edit these</t>
        </is>
      </c>
    </row>
    <row r="14">
      <c r="A14" s="6" t="inlineStr">
        <is>
          <t>Black text</t>
        </is>
      </c>
      <c r="B14" t="inlineStr">
        <is>
          <t>Formula or calculation</t>
        </is>
      </c>
    </row>
    <row r="15">
      <c r="A15" s="7" t="inlineStr">
        <is>
          <t>Green text</t>
        </is>
      </c>
      <c r="B15" t="inlineStr">
        <is>
          <t>Link from another sheet</t>
        </is>
      </c>
    </row>
    <row r="16">
      <c r="A16" s="8" t="inlineStr">
        <is>
          <t>Yellow fill</t>
        </is>
      </c>
      <c r="B16" t="inlineStr">
        <is>
          <t>Approval gate — owner reviews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44" customWidth="1" min="5" max="5"/>
  </cols>
  <sheetData>
    <row r="1">
      <c r="A1" s="9" t="inlineStr">
        <is>
          <t>#</t>
        </is>
      </c>
      <c r="B1" s="9" t="inlineStr">
        <is>
          <t>Driver</t>
        </is>
      </c>
      <c r="C1" s="9" t="inlineStr">
        <is>
          <t>Value</t>
        </is>
      </c>
      <c r="D1" s="9" t="inlineStr">
        <is>
          <t>Unit</t>
        </is>
      </c>
      <c r="E1" s="9" t="inlineStr">
        <is>
          <t>Note</t>
        </is>
      </c>
    </row>
    <row r="2">
      <c r="A2" s="10" t="inlineStr"/>
      <c r="B2" s="10" t="inlineStr">
        <is>
          <t>API &amp; token costs</t>
        </is>
      </c>
      <c r="C2" s="10" t="inlineStr"/>
      <c r="D2" s="10" t="inlineStr"/>
      <c r="E2" s="10" t="inlineStr"/>
    </row>
    <row r="3">
      <c r="A3" s="11" t="n">
        <v>2</v>
      </c>
      <c r="B3" s="12" t="inlineStr">
        <is>
          <t>Claude Sonnet input $ / 1M tokens</t>
        </is>
      </c>
      <c r="C3" s="13" t="n">
        <v>3</v>
      </c>
      <c r="D3" s="12" t="inlineStr">
        <is>
          <t>USD</t>
        </is>
      </c>
      <c r="E3" s="12" t="inlineStr">
        <is>
          <t>May 2026 published price</t>
        </is>
      </c>
    </row>
    <row r="4">
      <c r="A4" s="11" t="n">
        <v>3</v>
      </c>
      <c r="B4" s="12" t="inlineStr">
        <is>
          <t>Claude Sonnet output $ / 1M tokens</t>
        </is>
      </c>
      <c r="C4" s="13" t="n">
        <v>15</v>
      </c>
      <c r="D4" s="12" t="inlineStr">
        <is>
          <t>USD</t>
        </is>
      </c>
      <c r="E4" s="12" t="inlineStr"/>
    </row>
    <row r="5">
      <c r="A5" s="11" t="n">
        <v>4</v>
      </c>
      <c r="B5" s="12" t="inlineStr">
        <is>
          <t>Claude Haiku input $ / 1M tokens</t>
        </is>
      </c>
      <c r="C5" s="14" t="n">
        <v>0.8</v>
      </c>
      <c r="D5" s="12" t="inlineStr">
        <is>
          <t>USD</t>
        </is>
      </c>
      <c r="E5" s="12" t="inlineStr">
        <is>
          <t>Used for cheap copy + trend summaries</t>
        </is>
      </c>
    </row>
    <row r="6">
      <c r="A6" s="11" t="n">
        <v>5</v>
      </c>
      <c r="B6" s="12" t="inlineStr">
        <is>
          <t>Claude Haiku output $ / 1M tokens</t>
        </is>
      </c>
      <c r="C6" s="13" t="n">
        <v>4</v>
      </c>
      <c r="D6" s="12" t="inlineStr">
        <is>
          <t>USD</t>
        </is>
      </c>
      <c r="E6" s="12" t="inlineStr"/>
    </row>
    <row r="7">
      <c r="A7" s="11" t="n">
        <v>6</v>
      </c>
      <c r="B7" s="12" t="inlineStr">
        <is>
          <t>Avg tokens IN per episode-script call</t>
        </is>
      </c>
      <c r="C7" s="15" t="n">
        <v>4000</v>
      </c>
      <c r="D7" s="12" t="inlineStr">
        <is>
          <t>tok</t>
        </is>
      </c>
      <c r="E7" s="12" t="inlineStr">
        <is>
          <t>System prompt + bible + last ep + trend feed</t>
        </is>
      </c>
    </row>
    <row r="8">
      <c r="A8" s="11" t="n">
        <v>7</v>
      </c>
      <c r="B8" s="12" t="inlineStr">
        <is>
          <t>Avg tokens OUT per episode-script call</t>
        </is>
      </c>
      <c r="C8" s="15" t="n">
        <v>1500</v>
      </c>
      <c r="D8" s="12" t="inlineStr">
        <is>
          <t>tok</t>
        </is>
      </c>
      <c r="E8" s="12" t="inlineStr">
        <is>
          <t>Script + prompts + captions</t>
        </is>
      </c>
    </row>
    <row r="9">
      <c r="A9" s="11" t="n">
        <v>8</v>
      </c>
      <c r="B9" s="12" t="inlineStr">
        <is>
          <t>Per-episode Haiku tokens (IN+OUT)</t>
        </is>
      </c>
      <c r="C9" s="15" t="n">
        <v>3000</v>
      </c>
      <c r="D9" s="12" t="inlineStr">
        <is>
          <t>tok</t>
        </is>
      </c>
      <c r="E9" s="12" t="inlineStr">
        <is>
          <t>Trend summary, hashtags, comment seeds</t>
        </is>
      </c>
    </row>
    <row r="10">
      <c r="A10" s="11" t="n">
        <v>9</v>
      </c>
      <c r="B10" s="12" t="inlineStr">
        <is>
          <t>ElevenLabs Flash $ / 1k chars</t>
        </is>
      </c>
      <c r="C10" s="14" t="n">
        <v>0.05</v>
      </c>
      <c r="D10" s="12" t="inlineStr">
        <is>
          <t>USD</t>
        </is>
      </c>
      <c r="E10" s="12" t="inlineStr">
        <is>
          <t>Self-serve creator tier May 2026</t>
        </is>
      </c>
    </row>
    <row r="11">
      <c r="A11" s="11" t="n">
        <v>10</v>
      </c>
      <c r="B11" s="12" t="inlineStr">
        <is>
          <t>Avg voiceover chars per episode</t>
        </is>
      </c>
      <c r="C11" s="15" t="n">
        <v>1500</v>
      </c>
      <c r="D11" s="12" t="inlineStr">
        <is>
          <t>chars</t>
        </is>
      </c>
      <c r="E11" s="12" t="inlineStr">
        <is>
          <t>Three-beat 35–55 s episode</t>
        </is>
      </c>
    </row>
    <row r="12">
      <c r="A12" s="11" t="n">
        <v>11</v>
      </c>
      <c r="B12" s="12" t="inlineStr">
        <is>
          <t>Flux Schnell $ / image (Replicate)</t>
        </is>
      </c>
      <c r="C12" s="14" t="n">
        <v>0.003</v>
      </c>
      <c r="D12" s="12" t="inlineStr">
        <is>
          <t>USD</t>
        </is>
      </c>
      <c r="E12" s="12" t="inlineStr">
        <is>
          <t>Optional thumbnails / inserts</t>
        </is>
      </c>
    </row>
    <row r="13">
      <c r="A13" s="11" t="n">
        <v>12</v>
      </c>
      <c r="B13" s="12" t="inlineStr">
        <is>
          <t>Avg images per episode</t>
        </is>
      </c>
      <c r="C13" s="15" t="n">
        <v>1</v>
      </c>
      <c r="D13" s="12" t="inlineStr">
        <is>
          <t>img</t>
        </is>
      </c>
      <c r="E13" s="12" t="inlineStr"/>
    </row>
    <row r="14">
      <c r="A14" s="11" t="n">
        <v>13</v>
      </c>
      <c r="B14" s="12" t="inlineStr">
        <is>
          <t>Sora subscription $ / month</t>
        </is>
      </c>
      <c r="C14" s="15" t="n">
        <v>0</v>
      </c>
      <c r="D14" s="12" t="inlineStr">
        <is>
          <t>USD</t>
        </is>
      </c>
      <c r="E14" s="12" t="inlineStr">
        <is>
          <t>Already paid — sunk cost</t>
        </is>
      </c>
    </row>
    <row r="15">
      <c r="A15" s="11" t="n">
        <v>14</v>
      </c>
      <c r="B15" s="12" t="inlineStr">
        <is>
          <t>Music sub $ / month (Epidemic)</t>
        </is>
      </c>
      <c r="C15" s="15" t="n">
        <v>15</v>
      </c>
      <c r="D15" s="12" t="inlineStr">
        <is>
          <t>USD</t>
        </is>
      </c>
      <c r="E15" s="12" t="inlineStr">
        <is>
          <t>Or zero if YT Audio Library only</t>
        </is>
      </c>
    </row>
    <row r="16">
      <c r="A16" s="11" t="n">
        <v>15</v>
      </c>
      <c r="B16" s="12" t="inlineStr">
        <is>
          <t>n8n cloud $ / month</t>
        </is>
      </c>
      <c r="C16" s="15" t="n">
        <v>20</v>
      </c>
      <c r="D16" s="12" t="inlineStr">
        <is>
          <t>USD</t>
        </is>
      </c>
      <c r="E16" s="12" t="inlineStr">
        <is>
          <t>Zero if self-hosting</t>
        </is>
      </c>
    </row>
    <row r="17">
      <c r="A17" s="11" t="n">
        <v>16</v>
      </c>
      <c r="B17" s="12" t="inlineStr">
        <is>
          <t>Hosting (droplet for cron etc.)</t>
        </is>
      </c>
      <c r="C17" s="15" t="n">
        <v>6</v>
      </c>
      <c r="D17" s="12" t="inlineStr">
        <is>
          <t>USD</t>
        </is>
      </c>
      <c r="E17" s="12" t="inlineStr">
        <is>
          <t>Optional</t>
        </is>
      </c>
    </row>
    <row r="18"/>
    <row r="19">
      <c r="A19" s="10" t="inlineStr"/>
      <c r="B19" s="10" t="inlineStr">
        <is>
          <t>Production plan</t>
        </is>
      </c>
      <c r="C19" s="10" t="inlineStr"/>
      <c r="D19" s="10" t="inlineStr"/>
      <c r="E19" s="10" t="inlineStr"/>
    </row>
    <row r="20">
      <c r="A20" s="11" t="n">
        <v>19</v>
      </c>
      <c r="B20" s="12" t="inlineStr">
        <is>
          <t>Episodes per series per week</t>
        </is>
      </c>
      <c r="C20" s="15" t="n">
        <v>2</v>
      </c>
      <c r="D20" s="12" t="inlineStr">
        <is>
          <t>eps</t>
        </is>
      </c>
      <c r="E20" s="12" t="inlineStr">
        <is>
          <t>Per-series cadence</t>
        </is>
      </c>
    </row>
    <row r="21">
      <c r="A21" s="11" t="n">
        <v>20</v>
      </c>
      <c r="B21" s="12" t="inlineStr">
        <is>
          <t>Active series count</t>
        </is>
      </c>
      <c r="C21" s="15" t="n">
        <v>4</v>
      </c>
      <c r="D21" s="12" t="inlineStr">
        <is>
          <t>series</t>
        </is>
      </c>
      <c r="E21" s="12" t="inlineStr">
        <is>
          <t>Drops to 2 after Day 30 kill</t>
        </is>
      </c>
    </row>
    <row r="22">
      <c r="A22" s="11" t="n">
        <v>21</v>
      </c>
      <c r="B22" s="12" t="inlineStr">
        <is>
          <t>Weeks per month (rolling)</t>
        </is>
      </c>
      <c r="C22" s="13" t="n">
        <v>4.33</v>
      </c>
      <c r="D22" s="12" t="inlineStr">
        <is>
          <t>weeks</t>
        </is>
      </c>
      <c r="E22" s="12" t="inlineStr">
        <is>
          <t>52 ÷ 12</t>
        </is>
      </c>
    </row>
    <row r="23">
      <c r="A23" s="11" t="n">
        <v>22</v>
      </c>
      <c r="B23" s="12" t="inlineStr">
        <is>
          <t>Voiceover takes per episode</t>
        </is>
      </c>
      <c r="C23" s="15" t="n">
        <v>1</v>
      </c>
      <c r="D23" s="12" t="inlineStr">
        <is>
          <t>take</t>
        </is>
      </c>
      <c r="E23" s="12" t="inlineStr">
        <is>
          <t>Bump to 2 for top series after Day 30</t>
        </is>
      </c>
    </row>
    <row r="24">
      <c r="A24" s="11" t="n">
        <v>23</v>
      </c>
      <c r="B24" s="12" t="inlineStr">
        <is>
          <t>Hook variants per episode (A/B/C)</t>
        </is>
      </c>
      <c r="C24" s="15" t="n">
        <v>3</v>
      </c>
      <c r="D24" s="12" t="inlineStr">
        <is>
          <t>variants</t>
        </is>
      </c>
      <c r="E24" s="12" t="inlineStr">
        <is>
          <t>3 short re-edits at 0–3 s</t>
        </is>
      </c>
    </row>
    <row r="25"/>
    <row r="26">
      <c r="A26" s="10" t="inlineStr"/>
      <c r="B26" s="10" t="inlineStr">
        <is>
          <t>Marketing</t>
        </is>
      </c>
      <c r="C26" s="10" t="inlineStr"/>
      <c r="D26" s="10" t="inlineStr"/>
      <c r="E26" s="10" t="inlineStr"/>
    </row>
    <row r="27">
      <c r="A27" s="11" t="n">
        <v>26</v>
      </c>
      <c r="B27" s="12" t="inlineStr">
        <is>
          <t>Paid-boost budget per push</t>
        </is>
      </c>
      <c r="C27" s="15" t="n">
        <v>50</v>
      </c>
      <c r="D27" s="12" t="inlineStr">
        <is>
          <t>USD</t>
        </is>
      </c>
      <c r="E27" s="12" t="inlineStr">
        <is>
          <t>Default = 0 until Day 30</t>
        </is>
      </c>
    </row>
    <row r="28">
      <c r="A28" s="11" t="n">
        <v>27</v>
      </c>
      <c r="B28" s="12" t="inlineStr">
        <is>
          <t>Boosts per month</t>
        </is>
      </c>
      <c r="C28" s="15" t="n">
        <v>0</v>
      </c>
      <c r="D28" s="12" t="inlineStr">
        <is>
          <t>boosts</t>
        </is>
      </c>
      <c r="E28" s="12" t="inlineStr">
        <is>
          <t>Owner approves each push</t>
        </is>
      </c>
    </row>
    <row r="29">
      <c r="A29" s="11" t="n">
        <v>28</v>
      </c>
      <c r="B29" s="12" t="inlineStr">
        <is>
          <t>Comment-seed labor (auto)</t>
        </is>
      </c>
      <c r="C29" s="15" t="n">
        <v>0</v>
      </c>
      <c r="D29" s="12" t="inlineStr">
        <is>
          <t>USD</t>
        </is>
      </c>
      <c r="E29" s="12" t="inlineStr">
        <is>
          <t>Auto-generated by Haiku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Cost line</t>
        </is>
      </c>
      <c r="B1" s="9" t="inlineStr">
        <is>
          <t>S1 LAST SIGNAL</t>
        </is>
      </c>
      <c r="C1" s="9" t="inlineStr">
        <is>
          <t>S2 ECHOES</t>
        </is>
      </c>
      <c r="D1" s="9" t="inlineStr">
        <is>
          <t>S3 2099</t>
        </is>
      </c>
      <c r="E1" s="9" t="inlineStr">
        <is>
          <t>S4 UNSENT</t>
        </is>
      </c>
      <c r="F1" s="9" t="inlineStr">
        <is>
          <t>Studio avg</t>
        </is>
      </c>
    </row>
    <row r="2">
      <c r="A2" s="12" t="inlineStr">
        <is>
          <t>Sonnet script tokens IN ($)</t>
        </is>
      </c>
      <c r="B2" s="16">
        <f>=Inputs!C7/1000000*Inputs!C3</f>
        <v/>
      </c>
      <c r="C2" s="16">
        <f>=Inputs!C7/1000000*Inputs!C3</f>
        <v/>
      </c>
      <c r="D2" s="16">
        <f>=Inputs!C7/1000000*Inputs!C3</f>
        <v/>
      </c>
      <c r="E2" s="16">
        <f>=Inputs!C7/1000000*Inputs!C3</f>
        <v/>
      </c>
      <c r="F2" s="17">
        <f>AVERAGE(B2:E2)</f>
        <v/>
      </c>
    </row>
    <row r="3">
      <c r="A3" s="12" t="inlineStr">
        <is>
          <t>Sonnet script tokens OUT ($)</t>
        </is>
      </c>
      <c r="B3" s="16">
        <f>=Inputs!C8/1000000*Inputs!C4</f>
        <v/>
      </c>
      <c r="C3" s="16">
        <f>=Inputs!C8/1000000*Inputs!C4</f>
        <v/>
      </c>
      <c r="D3" s="16">
        <f>=Inputs!C8/1000000*Inputs!C4</f>
        <v/>
      </c>
      <c r="E3" s="16">
        <f>=Inputs!C8/1000000*Inputs!C4</f>
        <v/>
      </c>
      <c r="F3" s="17">
        <f>AVERAGE(B3:E3)</f>
        <v/>
      </c>
    </row>
    <row r="4">
      <c r="A4" s="12" t="inlineStr">
        <is>
          <t>Haiku ancillary tokens ($)</t>
        </is>
      </c>
      <c r="B4" s="16">
        <f>=Inputs!C9/1000000*((Inputs!C5+Inputs!C6)/2)</f>
        <v/>
      </c>
      <c r="C4" s="16">
        <f>=Inputs!C9/1000000*((Inputs!C5+Inputs!C6)/2)</f>
        <v/>
      </c>
      <c r="D4" s="16">
        <f>=Inputs!C9/1000000*((Inputs!C5+Inputs!C6)/2)</f>
        <v/>
      </c>
      <c r="E4" s="16">
        <f>=Inputs!C9/1000000*((Inputs!C5+Inputs!C6)/2)</f>
        <v/>
      </c>
      <c r="F4" s="17">
        <f>AVERAGE(B4:E4)</f>
        <v/>
      </c>
    </row>
    <row r="5">
      <c r="A5" s="12" t="inlineStr">
        <is>
          <t>Voiceover ($)</t>
        </is>
      </c>
      <c r="B5" s="16">
        <f>=Inputs!C11*Inputs!C23/1000*Inputs!C10</f>
        <v/>
      </c>
      <c r="C5" s="16">
        <f>=Inputs!C11*Inputs!C23/1000*Inputs!C10</f>
        <v/>
      </c>
      <c r="D5" s="16">
        <f>=Inputs!C11*Inputs!C23/1000*Inputs!C10</f>
        <v/>
      </c>
      <c r="E5" s="16">
        <f>=Inputs!C11*Inputs!C23/1000*Inputs!C10</f>
        <v/>
      </c>
      <c r="F5" s="17">
        <f>AVERAGE(B5:E5)</f>
        <v/>
      </c>
    </row>
    <row r="6">
      <c r="A6" s="12" t="inlineStr">
        <is>
          <t>Sora hero clips ($)</t>
        </is>
      </c>
      <c r="B6" s="16">
        <f>=Inputs!C14/(4*2*Inputs!C22)</f>
        <v/>
      </c>
      <c r="C6" s="16">
        <f>=Inputs!C14/(4*2*Inputs!C22)</f>
        <v/>
      </c>
      <c r="D6" s="16">
        <f>=Inputs!C14/(4*2*Inputs!C22)</f>
        <v/>
      </c>
      <c r="E6" s="16">
        <f>=Inputs!C14/(4*2*Inputs!C22)</f>
        <v/>
      </c>
      <c r="F6" s="17">
        <f>AVERAGE(B6:E6)</f>
        <v/>
      </c>
    </row>
    <row r="7">
      <c r="A7" s="12" t="inlineStr">
        <is>
          <t>Images / inserts ($)</t>
        </is>
      </c>
      <c r="B7" s="16">
        <f>=Inputs!C13*Inputs!C12</f>
        <v/>
      </c>
      <c r="C7" s="16">
        <f>=Inputs!C13*Inputs!C12</f>
        <v/>
      </c>
      <c r="D7" s="16">
        <f>=Inputs!C13*Inputs!C12</f>
        <v/>
      </c>
      <c r="E7" s="16">
        <f>=Inputs!C13*Inputs!C12</f>
        <v/>
      </c>
      <c r="F7" s="17">
        <f>AVERAGE(B7:E7)</f>
        <v/>
      </c>
    </row>
    <row r="8">
      <c r="A8" s="18" t="inlineStr">
        <is>
          <t>Sub-total raw cost ($)</t>
        </is>
      </c>
      <c r="B8" s="19">
        <f>SUM(B2:B7)</f>
        <v/>
      </c>
      <c r="C8" s="19">
        <f>SUM(C2:C7)</f>
        <v/>
      </c>
      <c r="D8" s="19">
        <f>SUM(D2:D7)</f>
        <v/>
      </c>
      <c r="E8" s="19">
        <f>SUM(E2:E7)</f>
        <v/>
      </c>
      <c r="F8" s="17">
        <f>AVERAGE(B8:E8)</f>
        <v/>
      </c>
    </row>
    <row r="9">
      <c r="A9" s="12" t="inlineStr">
        <is>
          <t>Series complexity multiplier</t>
        </is>
      </c>
      <c r="B9" s="20" t="n">
        <v>1.2</v>
      </c>
      <c r="C9" s="20" t="n">
        <v>0.9</v>
      </c>
      <c r="D9" s="20" t="n">
        <v>1.1</v>
      </c>
      <c r="E9" s="20" t="n">
        <v>0.7</v>
      </c>
    </row>
    <row r="10">
      <c r="A10" s="18" t="inlineStr">
        <is>
          <t>All-in cost / episode ($)</t>
        </is>
      </c>
      <c r="B10" s="21">
        <f>B8*B9</f>
        <v/>
      </c>
      <c r="C10" s="21">
        <f>C8*C9</f>
        <v/>
      </c>
      <c r="D10" s="21">
        <f>D8*D9</f>
        <v/>
      </c>
      <c r="E10" s="21">
        <f>E8*E9</f>
        <v/>
      </c>
      <c r="F10" s="17">
        <f>AVERAGE(B10:E10)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9" t="inlineStr">
        <is>
          <t>Item</t>
        </is>
      </c>
      <c r="B1" s="9" t="inlineStr">
        <is>
          <t>Mon</t>
        </is>
      </c>
      <c r="C1" s="9" t="inlineStr">
        <is>
          <t>Tue</t>
        </is>
      </c>
      <c r="D1" s="9" t="inlineStr">
        <is>
          <t>Wed</t>
        </is>
      </c>
      <c r="E1" s="9" t="inlineStr">
        <is>
          <t>Thu</t>
        </is>
      </c>
      <c r="F1" s="9" t="inlineStr">
        <is>
          <t>Fri</t>
        </is>
      </c>
      <c r="G1" s="9" t="inlineStr">
        <is>
          <t>Sat</t>
        </is>
      </c>
      <c r="H1" s="9" t="inlineStr">
        <is>
          <t>Total</t>
        </is>
      </c>
    </row>
    <row r="2">
      <c r="A2" s="18" t="inlineStr">
        <is>
          <t>Episodes produced</t>
        </is>
      </c>
      <c r="B2" s="22" t="n">
        <v>0</v>
      </c>
      <c r="C2" s="22" t="n">
        <v>2</v>
      </c>
      <c r="D2" s="22" t="n">
        <v>2</v>
      </c>
      <c r="E2" s="22" t="n">
        <v>2</v>
      </c>
      <c r="F2" s="22" t="n">
        <v>2</v>
      </c>
      <c r="G2" s="22" t="n">
        <v>0</v>
      </c>
      <c r="H2" s="23">
        <f>SUM(B2:G2)</f>
        <v/>
      </c>
    </row>
    <row r="3">
      <c r="A3" s="12" t="inlineStr">
        <is>
          <t>Episode list</t>
        </is>
      </c>
      <c r="B3" s="12" t="inlineStr">
        <is>
          <t>—</t>
        </is>
      </c>
      <c r="C3" s="12" t="inlineStr">
        <is>
          <t>S1E01, S2E01</t>
        </is>
      </c>
      <c r="D3" s="12" t="inlineStr">
        <is>
          <t>S3E01, S4E01</t>
        </is>
      </c>
      <c r="E3" s="12" t="inlineStr">
        <is>
          <t>S1E02, S2E02</t>
        </is>
      </c>
      <c r="F3" s="12" t="inlineStr">
        <is>
          <t>S3E02, S4E02</t>
        </is>
      </c>
      <c r="G3" s="12" t="inlineStr">
        <is>
          <t>—</t>
        </is>
      </c>
    </row>
    <row r="4">
      <c r="A4" s="18" t="inlineStr">
        <is>
          <t>Production $</t>
        </is>
      </c>
      <c r="B4" s="24" t="n">
        <v>0</v>
      </c>
      <c r="C4" s="24">
        <f>PerEpisode!B11+PerEpisode!C11</f>
        <v/>
      </c>
      <c r="D4" s="24">
        <f>PerEpisode!D11+PerEpisode!E11</f>
        <v/>
      </c>
      <c r="E4" s="24">
        <f>PerEpisode!B11+PerEpisode!C11</f>
        <v/>
      </c>
      <c r="F4" s="24">
        <f>PerEpisode!D11+PerEpisode!E11</f>
        <v/>
      </c>
      <c r="G4" s="24" t="n">
        <v>0</v>
      </c>
      <c r="H4" s="25">
        <f>SUM(B4:G4)</f>
        <v/>
      </c>
    </row>
    <row r="6">
      <c r="A6" s="18" t="inlineStr">
        <is>
          <t>Fixed weekly costs</t>
        </is>
      </c>
    </row>
    <row r="7">
      <c r="A7" s="12" t="inlineStr">
        <is>
          <t>Music sub (allocated)</t>
        </is>
      </c>
      <c r="H7" s="24">
        <f>Inputs!C15/Inputs!C22</f>
        <v/>
      </c>
    </row>
    <row r="8">
      <c r="A8" s="12" t="inlineStr">
        <is>
          <t>n8n cloud (allocated)</t>
        </is>
      </c>
      <c r="H8" s="24">
        <f>Inputs!C16/Inputs!C22</f>
        <v/>
      </c>
    </row>
    <row r="9">
      <c r="A9" s="12" t="inlineStr">
        <is>
          <t>Hosting (allocated)</t>
        </is>
      </c>
      <c r="H9" s="24">
        <f>Inputs!C17/Inputs!C22</f>
        <v/>
      </c>
    </row>
    <row r="10">
      <c r="A10" s="18" t="inlineStr">
        <is>
          <t>Fixed sub-total</t>
        </is>
      </c>
      <c r="H10" s="26">
        <f>SUM(H7:H9)</f>
        <v/>
      </c>
    </row>
    <row r="12">
      <c r="A12" s="27" t="inlineStr">
        <is>
          <t>WEEK PRODUCTION TOTAL</t>
        </is>
      </c>
      <c r="H12" s="28">
        <f>H4+H10</f>
        <v/>
      </c>
    </row>
    <row r="14">
      <c r="A14" s="18" t="inlineStr">
        <is>
          <t>Marketing (per push)</t>
        </is>
      </c>
    </row>
    <row r="15">
      <c r="A15" s="12" t="inlineStr">
        <is>
          <t>Boost amount (default)</t>
        </is>
      </c>
      <c r="H15" s="24">
        <f>Inputs!C27</f>
        <v/>
      </c>
    </row>
    <row r="16">
      <c r="A16" s="12" t="inlineStr">
        <is>
          <t>Boosts approved this week</t>
        </is>
      </c>
      <c r="H16" s="22" t="n">
        <v>0</v>
      </c>
    </row>
    <row r="17">
      <c r="A17" s="27" t="inlineStr">
        <is>
          <t>WEEK MARKETING TOTAL</t>
        </is>
      </c>
      <c r="H17" s="29">
        <f>H15*H16</f>
        <v/>
      </c>
    </row>
    <row r="19">
      <c r="A19" s="18" t="inlineStr">
        <is>
          <t>GRAND TOTAL (Production + Marketing)</t>
        </is>
      </c>
      <c r="H19" s="30">
        <f>H12+H17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Line</t>
        </is>
      </c>
      <c r="B1" s="9" t="inlineStr">
        <is>
          <t>Base (4 series)</t>
        </is>
      </c>
      <c r="C1" s="9" t="inlineStr">
        <is>
          <t>Scale (top 2 ×2)</t>
        </is>
      </c>
      <c r="D1" s="9" t="inlineStr">
        <is>
          <t>Kill-low (2 series)</t>
        </is>
      </c>
    </row>
    <row r="2">
      <c r="A2" s="18" t="inlineStr">
        <is>
          <t>Active series</t>
        </is>
      </c>
      <c r="B2" s="22" t="n">
        <v>4</v>
      </c>
      <c r="C2" s="22" t="n">
        <v>2</v>
      </c>
      <c r="D2" s="22" t="n">
        <v>2</v>
      </c>
    </row>
    <row r="3">
      <c r="A3" s="12" t="inlineStr">
        <is>
          <t>Episodes per series / week</t>
        </is>
      </c>
      <c r="B3" s="22" t="n">
        <v>2</v>
      </c>
      <c r="C3" s="22" t="n">
        <v>4</v>
      </c>
      <c r="D3" s="22" t="n">
        <v>2</v>
      </c>
    </row>
    <row r="4">
      <c r="A4" s="12" t="inlineStr">
        <is>
          <t>Episodes / month</t>
        </is>
      </c>
      <c r="B4" s="31">
        <f>B2*B3*Inputs!C22</f>
        <v/>
      </c>
      <c r="C4" s="31">
        <f>C2*C3*Inputs!C22</f>
        <v/>
      </c>
      <c r="D4" s="31">
        <f>D2*D3*Inputs!C22</f>
        <v/>
      </c>
    </row>
    <row r="5">
      <c r="A5" s="12" t="inlineStr">
        <is>
          <t>Avg cost per episode (studio)</t>
        </is>
      </c>
      <c r="B5" s="16">
        <f>PerEpisode!F11</f>
        <v/>
      </c>
      <c r="C5" s="16">
        <f>PerEpisode!F11</f>
        <v/>
      </c>
      <c r="D5" s="16">
        <f>PerEpisode!F11</f>
        <v/>
      </c>
    </row>
    <row r="6">
      <c r="A6" s="12" t="inlineStr">
        <is>
          <t>Variable production / month</t>
        </is>
      </c>
      <c r="B6" s="26">
        <f>B4*B5</f>
        <v/>
      </c>
      <c r="C6" s="26">
        <f>C4*C5</f>
        <v/>
      </c>
      <c r="D6" s="26">
        <f>D4*D5</f>
        <v/>
      </c>
    </row>
    <row r="7">
      <c r="A7" s="12" t="inlineStr">
        <is>
          <t>Fixed costs (Music + n8n + Hosting)</t>
        </is>
      </c>
      <c r="B7" s="24">
        <f>Inputs!C15+Inputs!C16+Inputs!C17</f>
        <v/>
      </c>
      <c r="C7" s="24">
        <f>Inputs!C15+Inputs!C16+Inputs!C17</f>
        <v/>
      </c>
      <c r="D7" s="24">
        <f>Inputs!C15+Inputs!C16+Inputs!C17</f>
        <v/>
      </c>
    </row>
    <row r="8">
      <c r="A8" s="12" t="inlineStr">
        <is>
          <t>Paid boosts (allowance)</t>
        </is>
      </c>
      <c r="B8" s="32" t="n">
        <v>0</v>
      </c>
      <c r="C8" s="32" t="n">
        <v>200</v>
      </c>
      <c r="D8" s="32" t="n">
        <v>100</v>
      </c>
    </row>
    <row r="9">
      <c r="A9" s="18" t="inlineStr">
        <is>
          <t>TOTAL MONTHLY $</t>
        </is>
      </c>
      <c r="B9" s="28">
        <f>SUM(B6:B8)</f>
        <v/>
      </c>
      <c r="C9" s="28">
        <f>SUM(C6:C8)</f>
        <v/>
      </c>
      <c r="D9" s="28">
        <f>SUM(D6:D8)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9" t="inlineStr">
        <is>
          <t>What-if scenario</t>
        </is>
      </c>
      <c r="B1" s="9" t="inlineStr">
        <is>
          <t>Cost / episode</t>
        </is>
      </c>
      <c r="C1" s="9" t="inlineStr">
        <is>
          <t>Δ vs base</t>
        </is>
      </c>
    </row>
    <row r="2">
      <c r="A2" s="18" t="inlineStr">
        <is>
          <t>Base case (current inputs)</t>
        </is>
      </c>
      <c r="B2" s="16">
        <f>PerEpisode!F11</f>
        <v/>
      </c>
      <c r="C2" s="33">
        <f>B2-B2</f>
        <v/>
      </c>
    </row>
    <row r="3">
      <c r="A3" s="12" t="inlineStr">
        <is>
          <t>Token prices +50% (provider raise)</t>
        </is>
      </c>
      <c r="B3" s="17">
        <f>B2 + 0.5*((Inputs!C7/1000000*Inputs!C3)+(Inputs!C8/1000000*Inputs!C4)+(Inputs!C9/1000000*(Inputs!C5+Inputs!C6)/2))</f>
        <v/>
      </c>
      <c r="C3" s="33">
        <f>B3-B2</f>
        <v/>
      </c>
    </row>
    <row r="4">
      <c r="A4" s="12" t="inlineStr">
        <is>
          <t>Voiceover ×2 takes (quality push)</t>
        </is>
      </c>
      <c r="B4" s="17">
        <f>B2+(Inputs!C11/1000*Inputs!C10)</f>
        <v/>
      </c>
      <c r="C4" s="33">
        <f>B4-B2</f>
        <v/>
      </c>
    </row>
    <row r="5">
      <c r="A5" s="12" t="inlineStr">
        <is>
          <t>Sora replaced by Kling 1.6 ($0.20/clip)</t>
        </is>
      </c>
      <c r="B5" s="17">
        <f>B2 + 6*0.20</f>
        <v/>
      </c>
      <c r="C5" s="33">
        <f>B5-B2</f>
        <v/>
      </c>
    </row>
    <row r="6">
      <c r="A6" s="12" t="inlineStr">
        <is>
          <t>All-Haiku scripts (no Sonnet)</t>
        </is>
      </c>
      <c r="B6" s="17">
        <f>B2 - (Inputs!C7/1000000*Inputs!C3) - (Inputs!C8/1000000*Inputs!C4) + (Inputs!C7/1000000*Inputs!C5) + (Inputs!C8/1000000*Inputs!C6)</f>
        <v/>
      </c>
      <c r="C6" s="33">
        <f>B6-B2</f>
        <v/>
      </c>
    </row>
    <row r="7">
      <c r="A7" s="12" t="inlineStr">
        <is>
          <t>5-day prompt-cache hits (save 50% IN tokens)</t>
        </is>
      </c>
      <c r="B7" s="17">
        <f>B2 - 0.5*(Inputs!C7/1000000*Inputs!C3)</f>
        <v/>
      </c>
      <c r="C7" s="33">
        <f>B7-B2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KPI</t>
        </is>
      </c>
      <c r="B1" s="9" t="inlineStr">
        <is>
          <t>Day 30</t>
        </is>
      </c>
      <c r="C1" s="9" t="inlineStr">
        <is>
          <t>Day 60</t>
        </is>
      </c>
      <c r="D1" s="9" t="inlineStr">
        <is>
          <t>Day 90</t>
        </is>
      </c>
    </row>
    <row r="2">
      <c r="A2" s="12" t="inlineStr">
        <is>
          <t>Episodes shipped</t>
        </is>
      </c>
      <c r="B2" s="15" t="n">
        <v>32</v>
      </c>
      <c r="C2" s="15" t="n">
        <v>64</v>
      </c>
      <c r="D2" s="15" t="n">
        <v>96</v>
      </c>
    </row>
    <row r="3">
      <c r="A3" s="12" t="inlineStr">
        <is>
          <t>Avg watch-through %</t>
        </is>
      </c>
      <c r="B3" s="34" t="n">
        <v>0.55</v>
      </c>
      <c r="C3" s="34" t="n">
        <v>0.6</v>
      </c>
      <c r="D3" s="34" t="n">
        <v>0.65</v>
      </c>
    </row>
    <row r="4">
      <c r="A4" s="12" t="inlineStr">
        <is>
          <t>Hook retention (3s) %</t>
        </is>
      </c>
      <c r="B4" s="34" t="n">
        <v>0.75</v>
      </c>
      <c r="C4" s="34" t="n">
        <v>0.8</v>
      </c>
      <c r="D4" s="34" t="n">
        <v>0.82</v>
      </c>
    </row>
    <row r="5">
      <c r="A5" s="12" t="inlineStr">
        <is>
          <t>Median views / ep</t>
        </is>
      </c>
      <c r="B5" s="15" t="n">
        <v>2500</v>
      </c>
      <c r="C5" s="15" t="n">
        <v>8000</v>
      </c>
      <c r="D5" s="15" t="n">
        <v>15000</v>
      </c>
    </row>
    <row r="6">
      <c r="A6" s="12" t="inlineStr">
        <is>
          <t>Followers (studio total)</t>
        </is>
      </c>
      <c r="B6" s="15" t="n">
        <v>5000</v>
      </c>
      <c r="C6" s="15" t="n">
        <v>25000</v>
      </c>
      <c r="D6" s="15" t="n">
        <v>80000</v>
      </c>
    </row>
    <row r="7">
      <c r="A7" s="12" t="inlineStr">
        <is>
          <t>Estimated reach (views/mo)</t>
        </is>
      </c>
      <c r="B7" s="15" t="n">
        <v>250000</v>
      </c>
      <c r="C7" s="15" t="n">
        <v>1500000</v>
      </c>
      <c r="D7" s="15" t="n">
        <v>5000000</v>
      </c>
    </row>
    <row r="8">
      <c r="A8" s="18" t="inlineStr">
        <is>
          <t>Cost / 1k views (studio)</t>
        </is>
      </c>
      <c r="B8" s="26">
        <f>Monthly!B9/(B6/1000)</f>
        <v/>
      </c>
      <c r="C8" s="26">
        <f>Monthly!B9/(C6/1000)</f>
        <v/>
      </c>
      <c r="D8" s="26">
        <f>Monthly!B9/(D6/1000)</f>
        <v/>
      </c>
    </row>
    <row r="9">
      <c r="A9" s="18" t="inlineStr">
        <is>
          <t>Break-even CPM needed</t>
        </is>
      </c>
      <c r="B9" s="35">
        <f>B8</f>
        <v/>
      </c>
      <c r="C9" s="35">
        <f>C8</f>
        <v/>
      </c>
      <c r="D9" s="35">
        <f>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2026-05-12T10:52:01Z</dcterms:created>
  <dcterms:modified xmlns:dcterms="http://purl.org/dc/terms/" xmlns:xsi="http://www.w3.org/2001/XMLSchema-instance" xsi:type="dcterms:W3CDTF">2026-05-12T10:52:01Z</dcterms:modified>
</cp:coreProperties>
</file>