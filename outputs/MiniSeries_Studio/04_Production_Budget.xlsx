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PerEpisode" sheetId="3" state="visible" r:id="rId5"/>
    <sheet name="Weekly" sheetId="4" state="visible" r:id="rId6"/>
    <sheet name="Monthly" sheetId="5" state="visible" r:id="rId7"/>
    <sheet name="Scenarios" sheetId="6" state="visible" r:id="rId8"/>
    <sheet name="KPI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Vertical Studio</author>
  </authors>
  <commentList>
    <comment ref="H12" authorId="0">
      <text>
        <r>
          <rPr>
            <sz val="10"/>
            <rFont val="Arial"/>
            <family val="2"/>
          </rPr>
          <t xml:space="preserve">APPROVAL GATE: Owner reviews this number on Monday morning. Default cap: $40/week.</t>
        </r>
      </text>
    </comment>
  </commentList>
</comments>
</file>

<file path=xl/sharedStrings.xml><?xml version="1.0" encoding="utf-8"?>
<sst xmlns="http://schemas.openxmlformats.org/spreadsheetml/2006/main" count="173" uniqueCount="159">
  <si>
    <t xml:space="preserve">VERTICAL STUDIO — PRODUCTION BUDGET</t>
  </si>
  <si>
    <t xml:space="preserve">Sheets:</t>
  </si>
  <si>
    <t xml:space="preserve">Inputs</t>
  </si>
  <si>
    <t xml:space="preserve">All adjustable assumptions in blue. Edit only here. The rest of the model recalculates.</t>
  </si>
  <si>
    <t xml:space="preserve">PerEpisode</t>
  </si>
  <si>
    <t xml:space="preserve">Cost build per single episode by series. Inputs flow here as formulas (green).</t>
  </si>
  <si>
    <t xml:space="preserve">Weekly</t>
  </si>
  <si>
    <t xml:space="preserve">Weekly 8-episode plan with budget approval line. Owner approves the yellow cell.</t>
  </si>
  <si>
    <t xml:space="preserve">Monthly</t>
  </si>
  <si>
    <t xml:space="preserve">Three rolling scenarios (base, scale, kill-low) with monthly run-rate.</t>
  </si>
  <si>
    <t xml:space="preserve">Scenarios</t>
  </si>
  <si>
    <t xml:space="preserve">What-if: token-price up 50%, Sora down, voiceover x2 quality.</t>
  </si>
  <si>
    <t xml:space="preserve">KPIs</t>
  </si>
  <si>
    <t xml:space="preserve">Day-30, Day-60, Day-90 targets and computed cost per 1k views.</t>
  </si>
  <si>
    <t xml:space="preserve">Color code:</t>
  </si>
  <si>
    <t xml:space="preserve">Blue text</t>
  </si>
  <si>
    <t xml:space="preserve">Hardcoded input — edit these</t>
  </si>
  <si>
    <t xml:space="preserve">Black text</t>
  </si>
  <si>
    <t xml:space="preserve">Formula or calculation</t>
  </si>
  <si>
    <t xml:space="preserve">Green text</t>
  </si>
  <si>
    <t xml:space="preserve">Link from another sheet</t>
  </si>
  <si>
    <t xml:space="preserve">Yellow fill</t>
  </si>
  <si>
    <t xml:space="preserve">Approval gate — owner reviews</t>
  </si>
  <si>
    <t xml:space="preserve">#</t>
  </si>
  <si>
    <t xml:space="preserve">Driver</t>
  </si>
  <si>
    <t xml:space="preserve">Value</t>
  </si>
  <si>
    <t xml:space="preserve">Unit</t>
  </si>
  <si>
    <t xml:space="preserve">Note</t>
  </si>
  <si>
    <t xml:space="preserve">API &amp; token costs</t>
  </si>
  <si>
    <t xml:space="preserve">Claude Sonnet input $ / 1M tokens</t>
  </si>
  <si>
    <t xml:space="preserve">USD</t>
  </si>
  <si>
    <t xml:space="preserve">May 2026 published price</t>
  </si>
  <si>
    <t xml:space="preserve">Claude Sonnet output $ / 1M tokens</t>
  </si>
  <si>
    <t xml:space="preserve">Claude Haiku input $ / 1M tokens</t>
  </si>
  <si>
    <t xml:space="preserve">Used for cheap copy + trend summaries</t>
  </si>
  <si>
    <t xml:space="preserve">Claude Haiku output $ / 1M tokens</t>
  </si>
  <si>
    <t xml:space="preserve">Avg tokens IN per episode-script call</t>
  </si>
  <si>
    <t xml:space="preserve">tok</t>
  </si>
  <si>
    <t xml:space="preserve">System prompt + bible + last ep + trend feed</t>
  </si>
  <si>
    <t xml:space="preserve">Avg tokens OUT per episode-script call</t>
  </si>
  <si>
    <t xml:space="preserve">Script + prompts + captions</t>
  </si>
  <si>
    <t xml:space="preserve">Per-episode Haiku tokens (IN+OUT)</t>
  </si>
  <si>
    <t xml:space="preserve">Trend summary, hashtags, comment seeds</t>
  </si>
  <si>
    <t xml:space="preserve">ElevenLabs Flash $ / 1k chars</t>
  </si>
  <si>
    <t xml:space="preserve">Self-serve creator tier May 2026</t>
  </si>
  <si>
    <t xml:space="preserve">Avg voiceover chars per episode</t>
  </si>
  <si>
    <t xml:space="preserve">chars</t>
  </si>
  <si>
    <t xml:space="preserve">Three-beat 35–55 s episode</t>
  </si>
  <si>
    <t xml:space="preserve">Flux Schnell $ / image (Replicate)</t>
  </si>
  <si>
    <t xml:space="preserve">Optional thumbnails / inserts</t>
  </si>
  <si>
    <t xml:space="preserve">Avg images per episode</t>
  </si>
  <si>
    <t xml:space="preserve">img</t>
  </si>
  <si>
    <t xml:space="preserve">Sora subscription $ / month</t>
  </si>
  <si>
    <t xml:space="preserve">Already paid — sunk cost</t>
  </si>
  <si>
    <t xml:space="preserve">Music sub $ / month (Epidemic)</t>
  </si>
  <si>
    <t xml:space="preserve">Or zero if YT Audio Library only</t>
  </si>
  <si>
    <t xml:space="preserve">n8n cloud $ / month</t>
  </si>
  <si>
    <t xml:space="preserve">Zero if self-hosting</t>
  </si>
  <si>
    <t xml:space="preserve">Hosting (droplet for cron etc.)</t>
  </si>
  <si>
    <t xml:space="preserve">Optional</t>
  </si>
  <si>
    <t xml:space="preserve">Production plan</t>
  </si>
  <si>
    <t xml:space="preserve">Episodes per series per week</t>
  </si>
  <si>
    <t xml:space="preserve">eps</t>
  </si>
  <si>
    <t xml:space="preserve">Per-series cadence</t>
  </si>
  <si>
    <t xml:space="preserve">Active series count</t>
  </si>
  <si>
    <t xml:space="preserve">series</t>
  </si>
  <si>
    <t xml:space="preserve">Drops to 2 after Day 30 kill</t>
  </si>
  <si>
    <t xml:space="preserve">Weeks per month (rolling)</t>
  </si>
  <si>
    <t xml:space="preserve">weeks</t>
  </si>
  <si>
    <t xml:space="preserve">52 ÷ 12</t>
  </si>
  <si>
    <t xml:space="preserve">Voiceover takes per episode</t>
  </si>
  <si>
    <t xml:space="preserve">take</t>
  </si>
  <si>
    <t xml:space="preserve">Bump to 2 for top series after Day 30</t>
  </si>
  <si>
    <t xml:space="preserve">Hook variants per episode (A/B/C)</t>
  </si>
  <si>
    <t xml:space="preserve">variants</t>
  </si>
  <si>
    <t xml:space="preserve">3 short re-edits at 0–3 s</t>
  </si>
  <si>
    <t xml:space="preserve">Marketing</t>
  </si>
  <si>
    <t xml:space="preserve">Paid-boost budget per push</t>
  </si>
  <si>
    <t xml:space="preserve">Default = 0 until Day 30</t>
  </si>
  <si>
    <t xml:space="preserve">Boosts per month</t>
  </si>
  <si>
    <t xml:space="preserve">boosts</t>
  </si>
  <si>
    <t xml:space="preserve">Owner approves each push</t>
  </si>
  <si>
    <t xml:space="preserve">Comment-seed labor (auto)</t>
  </si>
  <si>
    <t xml:space="preserve">Auto-generated by Haiku</t>
  </si>
  <si>
    <t xml:space="preserve">Cost line</t>
  </si>
  <si>
    <t xml:space="preserve">S1 LAST SIGNAL</t>
  </si>
  <si>
    <t xml:space="preserve">S2 ECHOES</t>
  </si>
  <si>
    <t xml:space="preserve">S3 2099</t>
  </si>
  <si>
    <t xml:space="preserve">S4 UNSENT</t>
  </si>
  <si>
    <t xml:space="preserve">Studio avg</t>
  </si>
  <si>
    <t xml:space="preserve">Sonnet script tokens IN ($)</t>
  </si>
  <si>
    <t xml:space="preserve">Sonnet script tokens OUT ($)</t>
  </si>
  <si>
    <t xml:space="preserve">Haiku ancillary tokens ($)</t>
  </si>
  <si>
    <t xml:space="preserve">Voiceover ($)</t>
  </si>
  <si>
    <t xml:space="preserve">Sora hero clips ($)</t>
  </si>
  <si>
    <t xml:space="preserve">Images / inserts ($)</t>
  </si>
  <si>
    <t xml:space="preserve">Sub-total raw cost ($)</t>
  </si>
  <si>
    <t xml:space="preserve">Series complexity multiplier</t>
  </si>
  <si>
    <t xml:space="preserve">All-in cost / episode ($)</t>
  </si>
  <si>
    <t xml:space="preserve">Item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</si>
  <si>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</si>
  <si>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</si>
  <si>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</si>
  <si>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</si>
  <si>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</si>
  <si>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</si>
  <si>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Total</t>
  </si>
  <si>
    <t xml:space="preserve">Episodes produced</t>
  </si>
  <si>
    <t xml:space="preserve">Episode list</t>
  </si>
  <si>
    <t xml:space="preserve">—</t>
  </si>
  <si>
    <t xml:space="preserve">S1E01, S2E01</t>
  </si>
  <si>
    <t xml:space="preserve">S3E01, S4E01</t>
  </si>
  <si>
    <t xml:space="preserve">S1E02, S2E02</t>
  </si>
  <si>
    <t xml:space="preserve">S3E02, S4E02</t>
  </si>
  <si>
    <t xml:space="preserve">Production $</t>
  </si>
  <si>
    <t xml:space="preserve">Fixed weekly costs</t>
  </si>
  <si>
    <t xml:space="preserve">Music sub (allocated)</t>
  </si>
  <si>
    <t xml:space="preserve">n8n cloud (allocated)</t>
  </si>
  <si>
    <t xml:space="preserve">Hosting (allocated)</t>
  </si>
  <si>
    <t xml:space="preserve">Fixed sub-total</t>
  </si>
  <si>
    <t xml:space="preserve">WEEK PRODUCTION TOTAL</t>
  </si>
  <si>
    <t xml:space="preserve">Marketing (per push)</t>
  </si>
  <si>
    <t xml:space="preserve">Boost amount (default)</t>
  </si>
  <si>
    <t xml:space="preserve">Boosts approved this week</t>
  </si>
  <si>
    <t xml:space="preserve">WEEK MARKETING TOTAL</t>
  </si>
  <si>
    <t xml:space="preserve">GRAND TOTAL (Production + Marketing)</t>
  </si>
  <si>
    <t xml:space="preserve">Line</t>
  </si>
  <si>
    <t xml:space="preserve">Base (4 series)</t>
  </si>
  <si>
    <t xml:space="preserve">Scale (top 2 ×2)</t>
  </si>
  <si>
    <t xml:space="preserve">Kill-low (2 series)</t>
  </si>
  <si>
    <t xml:space="preserve">Active series</t>
  </si>
  <si>
    <t xml:space="preserve">Episodes per series / week</t>
  </si>
  <si>
    <t xml:space="preserve">Episodes / month</t>
  </si>
  <si>
    <t xml:space="preserve">Avg cost per episode (studio)</t>
  </si>
  <si>
    <t xml:space="preserve">Variable production / month</t>
  </si>
  <si>
    <t xml:space="preserve">Fixed costs (Music + n8n + Hosting)</t>
  </si>
  <si>
    <t xml:space="preserve">Paid boosts (allowance)</t>
  </si>
  <si>
    <t xml:space="preserve">TOTAL MONTHLY $</t>
  </si>
  <si>
    <t xml:space="preserve">What-if scenario</t>
  </si>
  <si>
    <t xml:space="preserve">Cost / episode</t>
  </si>
  <si>
    <t xml:space="preserve">Δ vs base</t>
  </si>
  <si>
    <t xml:space="preserve">Base case (current inputs)</t>
  </si>
  <si>
    <t xml:space="preserve">Token prices +50% (provider raise)</t>
  </si>
  <si>
    <t xml:space="preserve">Voiceover ×2 takes (quality push)</t>
  </si>
  <si>
    <t xml:space="preserve">Sora replaced by Kling 1.6 ($0.20/clip)</t>
  </si>
  <si>
    <t xml:space="preserve">All-Haiku scripts (no Sonnet)</t>
  </si>
  <si>
    <t xml:space="preserve">5-day prompt-cache hits (save 50% IN tokens)</t>
  </si>
  <si>
    <t xml:space="preserve">KPI</t>
  </si>
  <si>
    <t xml:space="preserve">Day 30</t>
  </si>
  <si>
    <t xml:space="preserve">Day 60</t>
  </si>
  <si>
    <t xml:space="preserve">Day 90</t>
  </si>
  <si>
    <t xml:space="preserve">Episodes shipped</t>
  </si>
  <si>
    <t xml:space="preserve">Avg watch-through %</t>
  </si>
  <si>
    <t xml:space="preserve">Hook retention (3s) %</t>
  </si>
  <si>
    <t xml:space="preserve">Median views / ep</t>
  </si>
  <si>
    <t xml:space="preserve">Followers (studio total)</t>
  </si>
  <si>
    <t xml:space="preserve">Estimated reach (views/mo)</t>
  </si>
  <si>
    <t xml:space="preserve">Cost / 1k views (studio)</t>
  </si>
  <si>
    <t xml:space="preserve">Break-even CPM needed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</si>
</sst>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"/>
    <numFmt numFmtId="166" formatCode="\$#,##0.000"/>
    <numFmt numFmtId="167" formatCode="#,##0"/>
    <numFmt numFmtId="168" formatCode="0.00\x"/>
    <numFmt numFmtId="169" formatCode="0"/>
    <numFmt numFmtId="170" formatCode="0.0"/>
    <numFmt numFmtId="171" formatCode="\$#,##0"/>
    <numFmt numFmtId="172" formatCode="&quot;+$&quot;#,##0.000;&quot;-$&quot;#,##0.000;\-"/>
    <numFmt numFmtId="173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7F7F7F"/>
      <name val="Arial"/>
      <family val="0"/>
      <charset val="1"/>
    </font>
    <font>
      <sz val="11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5E8F0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6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FCC"/>
      <rgbColor rgb="FFD5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0"/>
  </cols>
  <sheetData>
    <row r="1" customFormat="false" ht="22.05" hidden="false" customHeight="false" outlineLevel="0" collapsed="false">
      <c r="A1" s="1" t="s">
        <v>0</v>
      </c>
      <c r="B1" s="1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4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 t="s">
        <v>12</v>
      </c>
      <c r="B9" s="4" t="s">
        <v>13</v>
      </c>
    </row>
    <row r="12" customFormat="false" ht="15" hidden="false" customHeight="false" outlineLevel="0" collapsed="false">
      <c r="A12" s="2" t="s">
        <v>14</v>
      </c>
    </row>
    <row r="13" customFormat="false" ht="15" hidden="false" customHeight="false" outlineLevel="0" collapsed="false">
      <c r="A13" s="5" t="s">
        <v>15</v>
      </c>
      <c r="B13" s="0" t="s">
        <v>16</v>
      </c>
    </row>
    <row r="14" customFormat="false" ht="15" hidden="false" customHeight="false" outlineLevel="0" collapsed="false">
      <c r="A14" s="6" t="s">
        <v>17</v>
      </c>
      <c r="B14" s="0" t="s">
        <v>18</v>
      </c>
    </row>
    <row r="15" customFormat="false" ht="15" hidden="false" customHeight="false" outlineLevel="0" collapsed="false">
      <c r="A15" s="7" t="s">
        <v>19</v>
      </c>
      <c r="B15" s="0" t="s">
        <v>20</v>
      </c>
    </row>
    <row r="16" customFormat="false" ht="15" hidden="false" customHeight="false" outlineLevel="0" collapsed="false">
      <c r="A16" s="8" t="s">
        <v>21</v>
      </c>
      <c r="B16" s="0" t="s">
        <v>22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4"/>
    <col collapsed="false" customWidth="true" hidden="false" outlineLevel="0" max="5" min="5" style="0" width="44"/>
  </cols>
  <sheetData>
    <row r="1" customFormat="false" ht="15" hidden="false" customHeight="false" outlineLevel="0" collapsed="false">
      <c r="A1" s="9" t="s">
        <v>23</v>
      </c>
      <c r="B1" s="9" t="s">
        <v>24</v>
      </c>
      <c r="C1" s="9" t="s">
        <v>25</v>
      </c>
      <c r="D1" s="9" t="s">
        <v>26</v>
      </c>
      <c r="E1" s="9" t="s">
        <v>27</v>
      </c>
    </row>
    <row r="2" customFormat="false" ht="15" hidden="false" customHeight="false" outlineLevel="0" collapsed="false">
      <c r="A2" s="10"/>
      <c r="B2" s="10" t="s">
        <v>28</v>
      </c>
      <c r="C2" s="10"/>
      <c r="D2" s="10"/>
      <c r="E2" s="10"/>
    </row>
    <row r="3" customFormat="false" ht="15" hidden="false" customHeight="false" outlineLevel="0" collapsed="false">
      <c r="A3" s="11" t="n">
        <v>2</v>
      </c>
      <c r="B3" s="12" t="s">
        <v>29</v>
      </c>
      <c r="C3" s="13" t="n">
        <v>3</v>
      </c>
      <c r="D3" s="12" t="s">
        <v>30</v>
      </c>
      <c r="E3" s="12" t="s">
        <v>31</v>
      </c>
    </row>
    <row r="4" customFormat="false" ht="15" hidden="false" customHeight="false" outlineLevel="0" collapsed="false">
      <c r="A4" s="11" t="n">
        <v>3</v>
      </c>
      <c r="B4" s="12" t="s">
        <v>32</v>
      </c>
      <c r="C4" s="13" t="n">
        <v>15</v>
      </c>
      <c r="D4" s="12" t="s">
        <v>30</v>
      </c>
      <c r="E4" s="12"/>
    </row>
    <row r="5" customFormat="false" ht="15" hidden="false" customHeight="false" outlineLevel="0" collapsed="false">
      <c r="A5" s="11" t="n">
        <v>4</v>
      </c>
      <c r="B5" s="12" t="s">
        <v>33</v>
      </c>
      <c r="C5" s="14" t="n">
        <v>0.8</v>
      </c>
      <c r="D5" s="12" t="s">
        <v>30</v>
      </c>
      <c r="E5" s="12" t="s">
        <v>34</v>
      </c>
    </row>
    <row r="6" customFormat="false" ht="15" hidden="false" customHeight="false" outlineLevel="0" collapsed="false">
      <c r="A6" s="11" t="n">
        <v>5</v>
      </c>
      <c r="B6" s="12" t="s">
        <v>35</v>
      </c>
      <c r="C6" s="13" t="n">
        <v>4</v>
      </c>
      <c r="D6" s="12" t="s">
        <v>30</v>
      </c>
      <c r="E6" s="12"/>
    </row>
    <row r="7" customFormat="false" ht="15" hidden="false" customHeight="false" outlineLevel="0" collapsed="false">
      <c r="A7" s="11" t="n">
        <v>6</v>
      </c>
      <c r="B7" s="12" t="s">
        <v>36</v>
      </c>
      <c r="C7" s="15" t="n">
        <v>4000</v>
      </c>
      <c r="D7" s="12" t="s">
        <v>37</v>
      </c>
      <c r="E7" s="12" t="s">
        <v>38</v>
      </c>
    </row>
    <row r="8" customFormat="false" ht="15" hidden="false" customHeight="false" outlineLevel="0" collapsed="false">
      <c r="A8" s="11" t="n">
        <v>7</v>
      </c>
      <c r="B8" s="12" t="s">
        <v>39</v>
      </c>
      <c r="C8" s="15" t="n">
        <v>1500</v>
      </c>
      <c r="D8" s="12" t="s">
        <v>37</v>
      </c>
      <c r="E8" s="12" t="s">
        <v>40</v>
      </c>
    </row>
    <row r="9" customFormat="false" ht="15" hidden="false" customHeight="false" outlineLevel="0" collapsed="false">
      <c r="A9" s="11" t="n">
        <v>8</v>
      </c>
      <c r="B9" s="12" t="s">
        <v>41</v>
      </c>
      <c r="C9" s="15" t="n">
        <v>3000</v>
      </c>
      <c r="D9" s="12" t="s">
        <v>37</v>
      </c>
      <c r="E9" s="12" t="s">
        <v>42</v>
      </c>
    </row>
    <row r="10" customFormat="false" ht="15" hidden="false" customHeight="false" outlineLevel="0" collapsed="false">
      <c r="A10" s="11" t="n">
        <v>9</v>
      </c>
      <c r="B10" s="12" t="s">
        <v>43</v>
      </c>
      <c r="C10" s="14" t="n">
        <v>0.05</v>
      </c>
      <c r="D10" s="12" t="s">
        <v>30</v>
      </c>
      <c r="E10" s="12" t="s">
        <v>44</v>
      </c>
    </row>
    <row r="11" customFormat="false" ht="15" hidden="false" customHeight="false" outlineLevel="0" collapsed="false">
      <c r="A11" s="11" t="n">
        <v>10</v>
      </c>
      <c r="B11" s="12" t="s">
        <v>45</v>
      </c>
      <c r="C11" s="15" t="n">
        <v>1500</v>
      </c>
      <c r="D11" s="12" t="s">
        <v>46</v>
      </c>
      <c r="E11" s="12" t="s">
        <v>47</v>
      </c>
    </row>
    <row r="12" customFormat="false" ht="15" hidden="false" customHeight="false" outlineLevel="0" collapsed="false">
      <c r="A12" s="11" t="n">
        <v>11</v>
      </c>
      <c r="B12" s="12" t="s">
        <v>48</v>
      </c>
      <c r="C12" s="14" t="n">
        <v>0.003</v>
      </c>
      <c r="D12" s="12" t="s">
        <v>30</v>
      </c>
      <c r="E12" s="12" t="s">
        <v>49</v>
      </c>
    </row>
    <row r="13" customFormat="false" ht="15" hidden="false" customHeight="false" outlineLevel="0" collapsed="false">
      <c r="A13" s="11" t="n">
        <v>12</v>
      </c>
      <c r="B13" s="12" t="s">
        <v>50</v>
      </c>
      <c r="C13" s="15" t="n">
        <v>1</v>
      </c>
      <c r="D13" s="12" t="s">
        <v>51</v>
      </c>
      <c r="E13" s="12"/>
    </row>
    <row r="14" customFormat="false" ht="15" hidden="false" customHeight="false" outlineLevel="0" collapsed="false">
      <c r="A14" s="11" t="n">
        <v>13</v>
      </c>
      <c r="B14" s="12" t="s">
        <v>52</v>
      </c>
      <c r="C14" s="15" t="n">
        <v>0</v>
      </c>
      <c r="D14" s="12" t="s">
        <v>30</v>
      </c>
      <c r="E14" s="12" t="s">
        <v>53</v>
      </c>
    </row>
    <row r="15" customFormat="false" ht="15" hidden="false" customHeight="false" outlineLevel="0" collapsed="false">
      <c r="A15" s="11" t="n">
        <v>14</v>
      </c>
      <c r="B15" s="12" t="s">
        <v>54</v>
      </c>
      <c r="C15" s="15" t="n">
        <v>15</v>
      </c>
      <c r="D15" s="12" t="s">
        <v>30</v>
      </c>
      <c r="E15" s="12" t="s">
        <v>55</v>
      </c>
    </row>
    <row r="16" customFormat="false" ht="15" hidden="false" customHeight="false" outlineLevel="0" collapsed="false">
      <c r="A16" s="11" t="n">
        <v>15</v>
      </c>
      <c r="B16" s="12" t="s">
        <v>56</v>
      </c>
      <c r="C16" s="15" t="n">
        <v>20</v>
      </c>
      <c r="D16" s="12" t="s">
        <v>30</v>
      </c>
      <c r="E16" s="12" t="s">
        <v>57</v>
      </c>
    </row>
    <row r="17" customFormat="false" ht="15" hidden="false" customHeight="false" outlineLevel="0" collapsed="false">
      <c r="A17" s="11" t="n">
        <v>16</v>
      </c>
      <c r="B17" s="12" t="s">
        <v>58</v>
      </c>
      <c r="C17" s="15" t="n">
        <v>6</v>
      </c>
      <c r="D17" s="12" t="s">
        <v>30</v>
      </c>
      <c r="E17" s="12" t="s">
        <v>59</v>
      </c>
    </row>
    <row r="19" customFormat="false" ht="15" hidden="false" customHeight="false" outlineLevel="0" collapsed="false">
      <c r="A19" s="10"/>
      <c r="B19" s="10" t="s">
        <v>60</v>
      </c>
      <c r="C19" s="10"/>
      <c r="D19" s="10"/>
      <c r="E19" s="10"/>
    </row>
    <row r="20" customFormat="false" ht="15" hidden="false" customHeight="false" outlineLevel="0" collapsed="false">
      <c r="A20" s="11" t="n">
        <v>19</v>
      </c>
      <c r="B20" s="12" t="s">
        <v>61</v>
      </c>
      <c r="C20" s="15" t="n">
        <v>2</v>
      </c>
      <c r="D20" s="12" t="s">
        <v>62</v>
      </c>
      <c r="E20" s="12" t="s">
        <v>63</v>
      </c>
    </row>
    <row r="21" customFormat="false" ht="15" hidden="false" customHeight="false" outlineLevel="0" collapsed="false">
      <c r="A21" s="11" t="n">
        <v>20</v>
      </c>
      <c r="B21" s="12" t="s">
        <v>64</v>
      </c>
      <c r="C21" s="15" t="n">
        <v>4</v>
      </c>
      <c r="D21" s="12" t="s">
        <v>65</v>
      </c>
      <c r="E21" s="12" t="s">
        <v>66</v>
      </c>
    </row>
    <row r="22" customFormat="false" ht="15" hidden="false" customHeight="false" outlineLevel="0" collapsed="false">
      <c r="A22" s="11" t="n">
        <v>21</v>
      </c>
      <c r="B22" s="12" t="s">
        <v>67</v>
      </c>
      <c r="C22" s="13" t="n">
        <v>4.33</v>
      </c>
      <c r="D22" s="12" t="s">
        <v>68</v>
      </c>
      <c r="E22" s="12" t="s">
        <v>69</v>
      </c>
    </row>
    <row r="23" customFormat="false" ht="15" hidden="false" customHeight="false" outlineLevel="0" collapsed="false">
      <c r="A23" s="11" t="n">
        <v>22</v>
      </c>
      <c r="B23" s="12" t="s">
        <v>70</v>
      </c>
      <c r="C23" s="15" t="n">
        <v>1</v>
      </c>
      <c r="D23" s="12" t="s">
        <v>71</v>
      </c>
      <c r="E23" s="12" t="s">
        <v>72</v>
      </c>
    </row>
    <row r="24" customFormat="false" ht="15" hidden="false" customHeight="false" outlineLevel="0" collapsed="false">
      <c r="A24" s="11" t="n">
        <v>23</v>
      </c>
      <c r="B24" s="12" t="s">
        <v>73</v>
      </c>
      <c r="C24" s="15" t="n">
        <v>3</v>
      </c>
      <c r="D24" s="12" t="s">
        <v>74</v>
      </c>
      <c r="E24" s="12" t="s">
        <v>75</v>
      </c>
    </row>
    <row r="26" customFormat="false" ht="15" hidden="false" customHeight="false" outlineLevel="0" collapsed="false">
      <c r="A26" s="10"/>
      <c r="B26" s="10" t="s">
        <v>76</v>
      </c>
      <c r="C26" s="10"/>
      <c r="D26" s="10"/>
      <c r="E26" s="10"/>
    </row>
    <row r="27" customFormat="false" ht="15" hidden="false" customHeight="false" outlineLevel="0" collapsed="false">
      <c r="A27" s="11" t="n">
        <v>26</v>
      </c>
      <c r="B27" s="12" t="s">
        <v>77</v>
      </c>
      <c r="C27" s="15" t="n">
        <v>50</v>
      </c>
      <c r="D27" s="12" t="s">
        <v>30</v>
      </c>
      <c r="E27" s="12" t="s">
        <v>78</v>
      </c>
    </row>
    <row r="28" customFormat="false" ht="15" hidden="false" customHeight="false" outlineLevel="0" collapsed="false">
      <c r="A28" s="11" t="n">
        <v>27</v>
      </c>
      <c r="B28" s="12" t="s">
        <v>79</v>
      </c>
      <c r="C28" s="15" t="n">
        <v>0</v>
      </c>
      <c r="D28" s="12" t="s">
        <v>80</v>
      </c>
      <c r="E28" s="12" t="s">
        <v>81</v>
      </c>
    </row>
    <row r="29" customFormat="false" ht="15" hidden="false" customHeight="false" outlineLevel="0" collapsed="false">
      <c r="A29" s="11" t="n">
        <v>28</v>
      </c>
      <c r="B29" s="12" t="s">
        <v>82</v>
      </c>
      <c r="C29" s="15" t="n">
        <v>0</v>
      </c>
      <c r="D29" s="12" t="s">
        <v>30</v>
      </c>
      <c r="E29" s="12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4"/>
  </cols>
  <sheetData>
    <row r="1" customFormat="false" ht="26.85" hidden="false" customHeight="false" outlineLevel="0" collapsed="false">
      <c r="A1" s="9" t="s">
        <v>84</v>
      </c>
      <c r="B1" s="9" t="s">
        <v>85</v>
      </c>
      <c r="C1" s="9" t="s">
        <v>86</v>
      </c>
      <c r="D1" s="9" t="s">
        <v>87</v>
      </c>
      <c r="E1" s="9" t="s">
        <v>88</v>
      </c>
      <c r="F1" s="9" t="s">
        <v>89</v>
      </c>
    </row>
    <row r="2" customFormat="false" ht="15" hidden="false" customHeight="false" outlineLevel="0" collapsed="false">
      <c r="A2" s="12" t="s">
        <v>90</v>
      </c>
      <c r="B2" s="16" t="n">
        <f aca="false">Inputs!C7/1000000*Inputs!C3</f>
        <v>0.012</v>
      </c>
      <c r="C2" s="16" t="n">
        <f aca="false">Inputs!C7/1000000*Inputs!C3</f>
        <v>0.012</v>
      </c>
      <c r="D2" s="16" t="n">
        <f aca="false">Inputs!C7/1000000*Inputs!C3</f>
        <v>0.012</v>
      </c>
      <c r="E2" s="16" t="n">
        <f aca="false">Inputs!C7/1000000*Inputs!C3</f>
        <v>0.012</v>
      </c>
      <c r="F2" s="17" t="n">
        <f aca="false">AVERAGE(B2:E2)</f>
        <v>0.012</v>
      </c>
    </row>
    <row r="3" customFormat="false" ht="15" hidden="false" customHeight="false" outlineLevel="0" collapsed="false">
      <c r="A3" s="12" t="s">
        <v>91</v>
      </c>
      <c r="B3" s="16" t="n">
        <f aca="false">Inputs!C8/1000000*Inputs!C4</f>
        <v>0.0225</v>
      </c>
      <c r="C3" s="16" t="n">
        <f aca="false">Inputs!C8/1000000*Inputs!C4</f>
        <v>0.0225</v>
      </c>
      <c r="D3" s="16" t="n">
        <f aca="false">Inputs!C8/1000000*Inputs!C4</f>
        <v>0.0225</v>
      </c>
      <c r="E3" s="16" t="n">
        <f aca="false">Inputs!C8/1000000*Inputs!C4</f>
        <v>0.0225</v>
      </c>
      <c r="F3" s="17" t="n">
        <f aca="false">AVERAGE(B3:E3)</f>
        <v>0.0225</v>
      </c>
    </row>
    <row r="4" customFormat="false" ht="15" hidden="false" customHeight="false" outlineLevel="0" collapsed="false">
      <c r="A4" s="12" t="s">
        <v>92</v>
      </c>
      <c r="B4" s="16" t="n">
        <f aca="false">Inputs!C9/1000000*((Inputs!C5+Inputs!C6)/2)</f>
        <v>0.0072</v>
      </c>
      <c r="C4" s="16" t="n">
        <f aca="false">Inputs!C9/1000000*((Inputs!C5+Inputs!C6)/2)</f>
        <v>0.0072</v>
      </c>
      <c r="D4" s="16" t="n">
        <f aca="false">Inputs!C9/1000000*((Inputs!C5+Inputs!C6)/2)</f>
        <v>0.0072</v>
      </c>
      <c r="E4" s="16" t="n">
        <f aca="false">Inputs!C9/1000000*((Inputs!C5+Inputs!C6)/2)</f>
        <v>0.0072</v>
      </c>
      <c r="F4" s="17" t="n">
        <f aca="false">AVERAGE(B4:E4)</f>
        <v>0.0072</v>
      </c>
    </row>
    <row r="5" customFormat="false" ht="15" hidden="false" customHeight="false" outlineLevel="0" collapsed="false">
      <c r="A5" s="12" t="s">
        <v>93</v>
      </c>
      <c r="B5" s="16" t="n">
        <f aca="false">Inputs!C11*Inputs!C23/1000*Inputs!C10</f>
        <v>0.075</v>
      </c>
      <c r="C5" s="16" t="n">
        <f aca="false">Inputs!C11*Inputs!C23/1000*Inputs!C10</f>
        <v>0.075</v>
      </c>
      <c r="D5" s="16" t="n">
        <f aca="false">Inputs!C11*Inputs!C23/1000*Inputs!C10</f>
        <v>0.075</v>
      </c>
      <c r="E5" s="16" t="n">
        <f aca="false">Inputs!C11*Inputs!C23/1000*Inputs!C10</f>
        <v>0.075</v>
      </c>
      <c r="F5" s="17" t="n">
        <f aca="false">AVERAGE(B5:E5)</f>
        <v>0.075</v>
      </c>
    </row>
    <row r="6" customFormat="false" ht="15" hidden="false" customHeight="false" outlineLevel="0" collapsed="false">
      <c r="A6" s="12" t="s">
        <v>94</v>
      </c>
      <c r="B6" s="16" t="n">
        <f aca="false">Inputs!C14/(4*2*Inputs!C22)</f>
        <v>0</v>
      </c>
      <c r="C6" s="16" t="n">
        <f aca="false">Inputs!C14/(4*2*Inputs!C22)</f>
        <v>0</v>
      </c>
      <c r="D6" s="16" t="n">
        <f aca="false">Inputs!C14/(4*2*Inputs!C22)</f>
        <v>0</v>
      </c>
      <c r="E6" s="16" t="n">
        <f aca="false">Inputs!C14/(4*2*Inputs!C22)</f>
        <v>0</v>
      </c>
      <c r="F6" s="17" t="n">
        <f aca="false">AVERAGE(B6:E6)</f>
        <v>0</v>
      </c>
    </row>
    <row r="7" customFormat="false" ht="15" hidden="false" customHeight="false" outlineLevel="0" collapsed="false">
      <c r="A7" s="12" t="s">
        <v>95</v>
      </c>
      <c r="B7" s="16" t="n">
        <f aca="false">Inputs!C13*Inputs!C12</f>
        <v>0.003</v>
      </c>
      <c r="C7" s="16" t="n">
        <f aca="false">Inputs!C13*Inputs!C12</f>
        <v>0.003</v>
      </c>
      <c r="D7" s="16" t="n">
        <f aca="false">Inputs!C13*Inputs!C12</f>
        <v>0.003</v>
      </c>
      <c r="E7" s="16" t="n">
        <f aca="false">Inputs!C13*Inputs!C12</f>
        <v>0.003</v>
      </c>
      <c r="F7" s="17" t="n">
        <f aca="false">AVERAGE(B7:E7)</f>
        <v>0.003</v>
      </c>
    </row>
    <row r="8" customFormat="false" ht="15" hidden="false" customHeight="false" outlineLevel="0" collapsed="false">
      <c r="A8" s="18" t="s">
        <v>96</v>
      </c>
      <c r="B8" s="19" t="n">
        <f aca="false">SUM(B2:B7)</f>
        <v>0.1197</v>
      </c>
      <c r="C8" s="19" t="n">
        <f aca="false">SUM(C2:C7)</f>
        <v>0.1197</v>
      </c>
      <c r="D8" s="19" t="n">
        <f aca="false">SUM(D2:D7)</f>
        <v>0.1197</v>
      </c>
      <c r="E8" s="19" t="n">
        <f aca="false">SUM(E2:E7)</f>
        <v>0.1197</v>
      </c>
      <c r="F8" s="17" t="n">
        <f aca="false">AVERAGE(B8:E8)</f>
        <v>0.1197</v>
      </c>
    </row>
    <row r="9" customFormat="false" ht="15" hidden="false" customHeight="false" outlineLevel="0" collapsed="false">
      <c r="A9" s="12" t="s">
        <v>97</v>
      </c>
      <c r="B9" s="20" t="n">
        <v>1.2</v>
      </c>
      <c r="C9" s="20" t="n">
        <v>0.9</v>
      </c>
      <c r="D9" s="20" t="n">
        <v>1.1</v>
      </c>
      <c r="E9" s="20" t="n">
        <v>0.7</v>
      </c>
    </row>
    <row r="10" customFormat="false" ht="15" hidden="false" customHeight="false" outlineLevel="0" collapsed="false">
      <c r="A10" s="18" t="s">
        <v>98</v>
      </c>
      <c r="B10" s="21" t="n">
        <f aca="false">B8*B9</f>
        <v>0.14364</v>
      </c>
      <c r="C10" s="21" t="n">
        <f aca="false">C8*C9</f>
        <v>0.10773</v>
      </c>
      <c r="D10" s="21" t="n">
        <f aca="false">D8*D9</f>
        <v>0.13167</v>
      </c>
      <c r="E10" s="21" t="n">
        <f aca="false">E8*E9</f>
        <v>0.08379</v>
      </c>
      <c r="F10" s="17" t="n">
        <f aca="false">AVERAGE(B10:E10)</f>
        <v>0.1167075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8" min="2" style="0" width="13"/>
  </cols>
  <sheetData>
    <row r="1" customFormat="false" ht="15" hidden="false" customHeight="false" outlineLevel="0" collapsed="false">
      <c r="A1" s="9" t="s">
        <v>99</v>
      </c>
      <c r="B1" s="9" t="s">
        <v>100</v>
      </c>
      <c r="C1" s="9" t="s">
        <v>101</v>
      </c>
      <c r="D1" s="9" t="s">
        <v>102</v>
      </c>
      <c r="E1" s="9" t="s">
        <v>103</v>
      </c>
      <c r="F1" s="9" t="s">
        <v>104</v>
      </c>
      <c r="G1" s="9" t="s">
        <v>105</v>
      </c>
      <c r="H1" s="9" t="s">
        <v>106</v>
      </c>
    </row>
    <row r="2" customFormat="false" ht="15" hidden="false" customHeight="false" outlineLevel="0" collapsed="false">
      <c r="A2" s="18" t="s">
        <v>107</v>
      </c>
      <c r="B2" s="22" t="n">
        <v>0</v>
      </c>
      <c r="C2" s="22" t="n">
        <v>2</v>
      </c>
      <c r="D2" s="22" t="n">
        <v>2</v>
      </c>
      <c r="E2" s="22" t="n">
        <v>2</v>
      </c>
      <c r="F2" s="22" t="n">
        <v>2</v>
      </c>
      <c r="G2" s="22" t="n">
        <v>0</v>
      </c>
      <c r="H2" s="23" t="n">
        <f aca="false">SUM(B2:G2)</f>
        <v>8</v>
      </c>
    </row>
    <row r="3" customFormat="false" ht="26.85" hidden="false" customHeight="false" outlineLevel="0" collapsed="false">
      <c r="A3" s="12" t="s">
        <v>108</v>
      </c>
      <c r="B3" s="12" t="s">
        <v>109</v>
      </c>
      <c r="C3" s="12" t="s">
        <v>110</v>
      </c>
      <c r="D3" s="12" t="s">
        <v>111</v>
      </c>
      <c r="E3" s="12" t="s">
        <v>112</v>
      </c>
      <c r="F3" s="12" t="s">
        <v>113</v>
      </c>
      <c r="G3" s="12" t="s">
        <v>109</v>
      </c>
    </row>
    <row r="4" customFormat="false" ht="15" hidden="false" customHeight="false" outlineLevel="0" collapsed="false">
      <c r="A4" s="18" t="s">
        <v>114</v>
      </c>
      <c r="B4" s="24" t="n">
        <v>0</v>
      </c>
      <c r="C4" s="24" t="n">
        <f aca="false">PerEpisode!B11+PerEpisode!C11</f>
        <v>0</v>
      </c>
      <c r="D4" s="24" t="n">
        <f aca="false">PerEpisode!D11+PerEpisode!E11</f>
        <v>0</v>
      </c>
      <c r="E4" s="24" t="n">
        <f aca="false">PerEpisode!B11+PerEpisode!C11</f>
        <v>0</v>
      </c>
      <c r="F4" s="24" t="n">
        <f aca="false">PerEpisode!D11+PerEpisode!E11</f>
        <v>0</v>
      </c>
      <c r="G4" s="24" t="n">
        <v>0</v>
      </c>
      <c r="H4" s="25" t="n">
        <f aca="false">SUM(B4:G4)</f>
        <v>0</v>
      </c>
    </row>
    <row r="6" customFormat="false" ht="15" hidden="false" customHeight="false" outlineLevel="0" collapsed="false">
      <c r="A6" s="18" t="s">
        <v>115</v>
      </c>
    </row>
    <row r="7" customFormat="false" ht="15" hidden="false" customHeight="false" outlineLevel="0" collapsed="false">
      <c r="A7" s="12" t="s">
        <v>116</v>
      </c>
      <c r="H7" s="24" t="n">
        <f aca="false">Inputs!C15/Inputs!C22</f>
        <v>3.46420323325635</v>
      </c>
    </row>
    <row r="8" customFormat="false" ht="15" hidden="false" customHeight="false" outlineLevel="0" collapsed="false">
      <c r="A8" s="12" t="s">
        <v>117</v>
      </c>
      <c r="H8" s="24" t="n">
        <f aca="false">Inputs!C16/Inputs!C22</f>
        <v>4.6189376443418</v>
      </c>
    </row>
    <row r="9" customFormat="false" ht="15" hidden="false" customHeight="false" outlineLevel="0" collapsed="false">
      <c r="A9" s="12" t="s">
        <v>118</v>
      </c>
      <c r="H9" s="24" t="n">
        <f aca="false">Inputs!C17/Inputs!C22</f>
        <v>1.38568129330254</v>
      </c>
    </row>
    <row r="10" customFormat="false" ht="15" hidden="false" customHeight="false" outlineLevel="0" collapsed="false">
      <c r="A10" s="18" t="s">
        <v>119</v>
      </c>
      <c r="H10" s="26" t="n">
        <f aca="false">SUM(H7:H9)</f>
        <v>9.46882217090069</v>
      </c>
    </row>
    <row r="12" customFormat="false" ht="26.85" hidden="false" customHeight="false" outlineLevel="0" collapsed="false">
      <c r="A12" s="27" t="s">
        <v>120</v>
      </c>
      <c r="H12" s="28" t="n">
        <f aca="false">H4+H10</f>
        <v>9.46882217090069</v>
      </c>
    </row>
    <row r="14" customFormat="false" ht="15" hidden="false" customHeight="false" outlineLevel="0" collapsed="false">
      <c r="A14" s="18" t="s">
        <v>121</v>
      </c>
    </row>
    <row r="15" customFormat="false" ht="15" hidden="false" customHeight="false" outlineLevel="0" collapsed="false">
      <c r="A15" s="12" t="s">
        <v>122</v>
      </c>
      <c r="H15" s="24" t="n">
        <f aca="false">Inputs!C27</f>
        <v>50</v>
      </c>
    </row>
    <row r="16" customFormat="false" ht="26.85" hidden="false" customHeight="false" outlineLevel="0" collapsed="false">
      <c r="A16" s="12" t="s">
        <v>123</v>
      </c>
      <c r="H16" s="22" t="n">
        <v>0</v>
      </c>
    </row>
    <row r="17" customFormat="false" ht="26.85" hidden="false" customHeight="false" outlineLevel="0" collapsed="false">
      <c r="A17" s="27" t="s">
        <v>124</v>
      </c>
      <c r="H17" s="29" t="n">
        <f aca="false">H15*H16</f>
        <v>0</v>
      </c>
    </row>
    <row r="19" customFormat="false" ht="39.55" hidden="false" customHeight="false" outlineLevel="0" collapsed="false">
      <c r="A19" s="18" t="s">
        <v>125</v>
      </c>
      <c r="H19" s="30" t="n">
        <f aca="false">H12+H17</f>
        <v>9.46882217090069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4" min="2" style="0" width="18"/>
  </cols>
  <sheetData>
    <row r="1" customFormat="false" ht="15" hidden="false" customHeight="false" outlineLevel="0" collapsed="false">
      <c r="A1" s="9" t="s">
        <v>126</v>
      </c>
      <c r="B1" s="9" t="s">
        <v>127</v>
      </c>
      <c r="C1" s="9" t="s">
        <v>128</v>
      </c>
      <c r="D1" s="9" t="s">
        <v>129</v>
      </c>
    </row>
    <row r="2" customFormat="false" ht="15" hidden="false" customHeight="false" outlineLevel="0" collapsed="false">
      <c r="A2" s="18" t="s">
        <v>130</v>
      </c>
      <c r="B2" s="22" t="n">
        <v>4</v>
      </c>
      <c r="C2" s="22" t="n">
        <v>2</v>
      </c>
      <c r="D2" s="22" t="n">
        <v>2</v>
      </c>
    </row>
    <row r="3" customFormat="false" ht="15" hidden="false" customHeight="false" outlineLevel="0" collapsed="false">
      <c r="A3" s="12" t="s">
        <v>131</v>
      </c>
      <c r="B3" s="22" t="n">
        <v>2</v>
      </c>
      <c r="C3" s="22" t="n">
        <v>4</v>
      </c>
      <c r="D3" s="22" t="n">
        <v>2</v>
      </c>
    </row>
    <row r="4" customFormat="false" ht="15" hidden="false" customHeight="false" outlineLevel="0" collapsed="false">
      <c r="A4" s="12" t="s">
        <v>132</v>
      </c>
      <c r="B4" s="31" t="n">
        <f aca="false">B2*B3*Inputs!C22</f>
        <v>34.64</v>
      </c>
      <c r="C4" s="31" t="n">
        <f aca="false">C2*C3*Inputs!C22</f>
        <v>34.64</v>
      </c>
      <c r="D4" s="31" t="n">
        <f aca="false">D2*D3*Inputs!C22</f>
        <v>17.32</v>
      </c>
    </row>
    <row r="5" customFormat="false" ht="15" hidden="false" customHeight="false" outlineLevel="0" collapsed="false">
      <c r="A5" s="12" t="s">
        <v>133</v>
      </c>
      <c r="B5" s="16" t="n">
        <f aca="false">PerEpisode!F11</f>
        <v>0</v>
      </c>
      <c r="C5" s="16" t="n">
        <f aca="false">PerEpisode!F11</f>
        <v>0</v>
      </c>
      <c r="D5" s="16" t="n">
        <f aca="false">PerEpisode!F11</f>
        <v>0</v>
      </c>
    </row>
    <row r="6" customFormat="false" ht="15" hidden="false" customHeight="false" outlineLevel="0" collapsed="false">
      <c r="A6" s="12" t="s">
        <v>134</v>
      </c>
      <c r="B6" s="26" t="n">
        <f aca="false">B4*B5</f>
        <v>0</v>
      </c>
      <c r="C6" s="26" t="n">
        <f aca="false">C4*C5</f>
        <v>0</v>
      </c>
      <c r="D6" s="26" t="n">
        <f aca="false">D4*D5</f>
        <v>0</v>
      </c>
    </row>
    <row r="7" customFormat="false" ht="26.85" hidden="false" customHeight="false" outlineLevel="0" collapsed="false">
      <c r="A7" s="12" t="s">
        <v>135</v>
      </c>
      <c r="B7" s="24" t="n">
        <f aca="false">Inputs!C15+Inputs!C16+Inputs!C17</f>
        <v>41</v>
      </c>
      <c r="C7" s="24" t="n">
        <f aca="false">Inputs!C15+Inputs!C16+Inputs!C17</f>
        <v>41</v>
      </c>
      <c r="D7" s="24" t="n">
        <f aca="false">Inputs!C15+Inputs!C16+Inputs!C17</f>
        <v>41</v>
      </c>
    </row>
    <row r="8" customFormat="false" ht="15" hidden="false" customHeight="false" outlineLevel="0" collapsed="false">
      <c r="A8" s="12" t="s">
        <v>136</v>
      </c>
      <c r="B8" s="32" t="n">
        <v>0</v>
      </c>
      <c r="C8" s="32" t="n">
        <v>200</v>
      </c>
      <c r="D8" s="32" t="n">
        <v>100</v>
      </c>
    </row>
    <row r="9" customFormat="false" ht="15" hidden="false" customHeight="false" outlineLevel="0" collapsed="false">
      <c r="A9" s="18" t="s">
        <v>137</v>
      </c>
      <c r="B9" s="28" t="n">
        <f aca="false">SUM(B6:B8)</f>
        <v>41</v>
      </c>
      <c r="C9" s="28" t="n">
        <f aca="false">SUM(C6:C8)</f>
        <v>241</v>
      </c>
      <c r="D9" s="28" t="n">
        <f aca="false">SUM(D6:D8)</f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8"/>
  </cols>
  <sheetData>
    <row r="1" customFormat="false" ht="15" hidden="false" customHeight="false" outlineLevel="0" collapsed="false">
      <c r="A1" s="9" t="s">
        <v>138</v>
      </c>
      <c r="B1" s="9" t="s">
        <v>139</v>
      </c>
      <c r="C1" s="9" t="s">
        <v>140</v>
      </c>
    </row>
    <row r="2" customFormat="false" ht="15" hidden="false" customHeight="false" outlineLevel="0" collapsed="false">
      <c r="A2" s="18" t="s">
        <v>141</v>
      </c>
      <c r="B2" s="16" t="n">
        <f aca="false">PerEpisode!F11</f>
        <v>0</v>
      </c>
      <c r="C2" s="33" t="n">
        <f aca="false">B2-B2</f>
        <v>0</v>
      </c>
    </row>
    <row r="3" customFormat="false" ht="15" hidden="false" customHeight="false" outlineLevel="0" collapsed="false">
      <c r="A3" s="12" t="s">
        <v>142</v>
      </c>
      <c r="B3" s="17" t="n">
        <f aca="false">B2 + 0.5*((Inputs!C7/1000000*Inputs!C3)+(Inputs!C8/1000000*Inputs!C4)+(Inputs!C9/1000000*(Inputs!C5+Inputs!C6)/2))</f>
        <v>0.02085</v>
      </c>
      <c r="C3" s="33" t="n">
        <f aca="false">B3-B2</f>
        <v>0.02085</v>
      </c>
    </row>
    <row r="4" customFormat="false" ht="15" hidden="false" customHeight="false" outlineLevel="0" collapsed="false">
      <c r="A4" s="12" t="s">
        <v>143</v>
      </c>
      <c r="B4" s="17" t="n">
        <f aca="false">B2+(Inputs!C11/1000*Inputs!C10)</f>
        <v>0.075</v>
      </c>
      <c r="C4" s="33" t="n">
        <f aca="false">B4-B2</f>
        <v>0.075</v>
      </c>
    </row>
    <row r="5" customFormat="false" ht="15" hidden="false" customHeight="false" outlineLevel="0" collapsed="false">
      <c r="A5" s="12" t="s">
        <v>144</v>
      </c>
      <c r="B5" s="17" t="n">
        <f aca="false">B2 + 6*0.2</f>
        <v>1.2</v>
      </c>
      <c r="C5" s="33" t="n">
        <f aca="false">B5-B2</f>
        <v>1.2</v>
      </c>
    </row>
    <row r="6" customFormat="false" ht="15" hidden="false" customHeight="false" outlineLevel="0" collapsed="false">
      <c r="A6" s="12" t="s">
        <v>145</v>
      </c>
      <c r="B6" s="17" t="n">
        <f aca="false">B2 - (Inputs!C7/1000000*Inputs!C3) - (Inputs!C8/1000000*Inputs!C4) + (Inputs!C7/1000000*Inputs!C5) + (Inputs!C8/1000000*Inputs!C6)</f>
        <v>-0.0253</v>
      </c>
      <c r="C6" s="33" t="n">
        <f aca="false">B6-B2</f>
        <v>-0.0253</v>
      </c>
    </row>
    <row r="7" customFormat="false" ht="26.85" hidden="false" customHeight="false" outlineLevel="0" collapsed="false">
      <c r="A7" s="12" t="s">
        <v>146</v>
      </c>
      <c r="B7" s="17" t="n">
        <f aca="false">B2 - 0.5*(Inputs!C7/1000000*Inputs!C3)</f>
        <v>-0.006</v>
      </c>
      <c r="C7" s="33" t="n">
        <f aca="false">B7-B2</f>
        <v>-0.006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4" min="2" style="0" width="18"/>
  </cols>
  <sheetData>
    <row r="1" customFormat="false" ht="15" hidden="false" customHeight="false" outlineLevel="0" collapsed="false">
      <c r="A1" s="9" t="s">
        <v>147</v>
      </c>
      <c r="B1" s="9" t="s">
        <v>148</v>
      </c>
      <c r="C1" s="9" t="s">
        <v>149</v>
      </c>
      <c r="D1" s="9" t="s">
        <v>150</v>
      </c>
    </row>
    <row r="2" customFormat="false" ht="15" hidden="false" customHeight="false" outlineLevel="0" collapsed="false">
      <c r="A2" s="12" t="s">
        <v>151</v>
      </c>
      <c r="B2" s="15" t="n">
        <v>32</v>
      </c>
      <c r="C2" s="15" t="n">
        <v>64</v>
      </c>
      <c r="D2" s="15" t="n">
        <v>96</v>
      </c>
    </row>
    <row r="3" customFormat="false" ht="15" hidden="false" customHeight="false" outlineLevel="0" collapsed="false">
      <c r="A3" s="12" t="s">
        <v>152</v>
      </c>
      <c r="B3" s="34" t="n">
        <v>0.55</v>
      </c>
      <c r="C3" s="34" t="n">
        <v>0.6</v>
      </c>
      <c r="D3" s="34" t="n">
        <v>0.65</v>
      </c>
    </row>
    <row r="4" customFormat="false" ht="15" hidden="false" customHeight="false" outlineLevel="0" collapsed="false">
      <c r="A4" s="12" t="s">
        <v>153</v>
      </c>
      <c r="B4" s="34" t="n">
        <v>0.75</v>
      </c>
      <c r="C4" s="34" t="n">
        <v>0.8</v>
      </c>
      <c r="D4" s="34" t="n">
        <v>0.82</v>
      </c>
    </row>
    <row r="5" customFormat="false" ht="15" hidden="false" customHeight="false" outlineLevel="0" collapsed="false">
      <c r="A5" s="12" t="s">
        <v>154</v>
      </c>
      <c r="B5" s="15" t="n">
        <v>2500</v>
      </c>
      <c r="C5" s="15" t="n">
        <v>8000</v>
      </c>
      <c r="D5" s="15" t="n">
        <v>15000</v>
      </c>
    </row>
    <row r="6" customFormat="false" ht="15" hidden="false" customHeight="false" outlineLevel="0" collapsed="false">
      <c r="A6" s="12" t="s">
        <v>155</v>
      </c>
      <c r="B6" s="15" t="n">
        <v>5000</v>
      </c>
      <c r="C6" s="15" t="n">
        <v>25000</v>
      </c>
      <c r="D6" s="15" t="n">
        <v>80000</v>
      </c>
    </row>
    <row r="7" customFormat="false" ht="15" hidden="false" customHeight="false" outlineLevel="0" collapsed="false">
      <c r="A7" s="12" t="s">
        <v>156</v>
      </c>
      <c r="B7" s="15" t="n">
        <v>250000</v>
      </c>
      <c r="C7" s="15" t="n">
        <v>1500000</v>
      </c>
      <c r="D7" s="15" t="n">
        <v>5000000</v>
      </c>
    </row>
    <row r="8" customFormat="false" ht="15" hidden="false" customHeight="false" outlineLevel="0" collapsed="false">
      <c r="A8" s="18" t="s">
        <v>157</v>
      </c>
      <c r="B8" s="26" t="n">
        <f aca="false">Monthly!B9/(B6/1000)</f>
        <v>8.2</v>
      </c>
      <c r="C8" s="26" t="n">
        <f aca="false">Monthly!B9/(C6/1000)</f>
        <v>1.64</v>
      </c>
      <c r="D8" s="26" t="n">
        <f aca="false">Monthly!B9/(D6/1000)</f>
        <v>0.5125</v>
      </c>
    </row>
    <row r="9" customFormat="false" ht="15" hidden="false" customHeight="false" outlineLevel="0" collapsed="false">
      <c r="A9" s="18" t="s">
        <v>158</v>
      </c>
      <c r="B9" s="35" t="n">
        <f aca="false">B8</f>
        <v>8.2</v>
      </c>
      <c r="C9" s="35" t="n">
        <f aca="false">C8</f>
        <v>1.64</v>
      </c>
      <c r="D9" s="35" t="n">
        <f aca="false">D8</f>
        <v>0.5125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2026-05-12T10:52:01Z</dcterms:created>
  <dc:creator>openpyxl</dc:creator>
  <dc:description/>
  <dc:language>en-US</dc:language>
  <cp:lastModifiedBy/>
  <dcterms:modified xsi:type="dcterms:W3CDTF">2026-05-12T10:52:01Z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