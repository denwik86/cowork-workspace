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1. Assumptions" sheetId="2" state="visible" r:id="rId2"/>
    <sheet xmlns:r="http://schemas.openxmlformats.org/officeDocument/2006/relationships" name="2. Capitaliply P&amp;L" sheetId="3" state="visible" r:id="rId3"/>
    <sheet xmlns:r="http://schemas.openxmlformats.org/officeDocument/2006/relationships" name="3. Target P&amp;L" sheetId="4" state="visible" r:id="rId4"/>
    <sheet xmlns:r="http://schemas.openxmlformats.org/officeDocument/2006/relationships" name="4. Debt Stack" sheetId="5" state="visible" r:id="rId5"/>
    <sheet xmlns:r="http://schemas.openxmlformats.org/officeDocument/2006/relationships" name="5. Sources &amp; Uses" sheetId="6" state="visible" r:id="rId6"/>
    <sheet xmlns:r="http://schemas.openxmlformats.org/officeDocument/2006/relationships" name="6. DSCR &amp; Leverage" sheetId="7" state="visible" r:id="rId7"/>
    <sheet xmlns:r="http://schemas.openxmlformats.org/officeDocument/2006/relationships" name="7. Valuation FF" sheetId="8" state="visible" r:id="rId8"/>
    <sheet xmlns:r="http://schemas.openxmlformats.org/officeDocument/2006/relationships" name="8. Cap Table" sheetId="9" state="visible" r:id="rId9"/>
    <sheet xmlns:r="http://schemas.openxmlformats.org/officeDocument/2006/relationships" name="9. Risks Matrix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$#,##0;&quot;($&quot;#,##0\);\-"/>
    <numFmt numFmtId="165" formatCode="0.00\x"/>
    <numFmt numFmtId="166" formatCode="0.0000"/>
    <numFmt numFmtId="167" formatCode="0.0%;\(0.0%\);\-"/>
    <numFmt numFmtId="168" formatCode="\€#,##0;&quot;(€&quot;#,##0\);\-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8"/>
    </font>
    <font>
      <name val="Arial"/>
      <charset val="1"/>
      <family val="0"/>
      <i val="1"/>
      <color rgb="FF595959"/>
      <sz val="12"/>
    </font>
    <font>
      <name val="Arial"/>
      <charset val="1"/>
      <family val="0"/>
      <color rgb="FF595959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595959"/>
      <sz val="9"/>
    </font>
  </fonts>
  <fills count="9">
    <fill>
      <patternFill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8CBAD"/>
        <bgColor rgb="FFFFF2CC"/>
      </patternFill>
    </fill>
    <fill>
      <patternFill patternType="solid">
        <fgColor rgb="FFFFF2CC"/>
        <bgColor rgb="FFF2F2F2"/>
      </patternFill>
    </fill>
    <fill>
      <patternFill patternType="solid">
        <fgColor rgb="FF305496"/>
        <bgColor rgb="FF1F3864"/>
      </patternFill>
    </fill>
    <fill>
      <patternFill patternType="solid">
        <fgColor rgb="FFC6EFCE"/>
        <bgColor rgb="FFD9E1F2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center" vertical="center"/>
    </xf>
    <xf numFmtId="164" fontId="10" fillId="4" borderId="0" applyAlignment="1" pivotButton="0" quotePrefix="0" xfId="0">
      <alignment horizontal="general" vertical="bottom"/>
    </xf>
    <xf numFmtId="164" fontId="13" fillId="4" borderId="0" applyAlignment="1" pivotButton="0" quotePrefix="0" xfId="0">
      <alignment horizontal="general" vertical="bottom"/>
    </xf>
    <xf numFmtId="167" fontId="13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4" fontId="0" fillId="4" borderId="0" applyAlignment="1" pivotButton="0" quotePrefix="0" xfId="0">
      <alignment horizontal="general" vertical="bottom"/>
    </xf>
    <xf numFmtId="167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general" vertical="bottom"/>
    </xf>
    <xf numFmtId="164" fontId="0" fillId="5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/>
    </xf>
    <xf numFmtId="164" fontId="11" fillId="5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168" fontId="10" fillId="0" borderId="0" applyAlignment="1" pivotButton="0" quotePrefix="0" xfId="0">
      <alignment horizontal="general" vertical="bottom"/>
    </xf>
    <xf numFmtId="164" fontId="8" fillId="4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164" fontId="12" fillId="7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left" vertical="top" wrapText="1"/>
    </xf>
    <xf numFmtId="0" fontId="8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center" vertical="center"/>
    </xf>
    <xf numFmtId="164" fontId="10" fillId="4" borderId="0" applyAlignment="1" pivotButton="0" quotePrefix="0" xfId="0">
      <alignment horizontal="general" vertical="bottom"/>
    </xf>
    <xf numFmtId="164" fontId="13" fillId="4" borderId="0" applyAlignment="1" pivotButton="0" quotePrefix="0" xfId="0">
      <alignment horizontal="general" vertical="bottom"/>
    </xf>
    <xf numFmtId="167" fontId="13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4" fontId="0" fillId="4" borderId="0" applyAlignment="1" pivotButton="0" quotePrefix="0" xfId="0">
      <alignment horizontal="general" vertical="bottom"/>
    </xf>
    <xf numFmtId="167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general" vertical="bottom"/>
    </xf>
    <xf numFmtId="164" fontId="0" fillId="5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/>
    </xf>
    <xf numFmtId="164" fontId="11" fillId="5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168" fontId="10" fillId="0" borderId="0" applyAlignment="1" pivotButton="0" quotePrefix="0" xfId="0">
      <alignment horizontal="general" vertical="bottom"/>
    </xf>
    <xf numFmtId="164" fontId="8" fillId="4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164" fontId="12" fillId="7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left" vertical="top" wrapText="1"/>
    </xf>
    <xf numFmtId="0" fontId="8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E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63" min="1" max="1"/>
    <col width="42" customWidth="1" style="63" min="2" max="2"/>
    <col width="20" customWidth="1" style="63" min="3" max="5"/>
  </cols>
  <sheetData>
    <row r="1"/>
    <row r="2" ht="22.05" customHeight="1" s="64">
      <c r="B2" s="65" t="inlineStr">
        <is>
          <t>CAPITALIPLY GROUP — DUE DILIGENCE MODEL</t>
        </is>
      </c>
    </row>
    <row r="3" ht="15" customHeight="1" s="64">
      <c r="B3" s="66" t="inlineStr">
        <is>
          <t>Acquisition + Lender Risk + Investor Equity Analysis</t>
        </is>
      </c>
    </row>
    <row r="4" ht="15" customHeight="1" s="64">
      <c r="B4" s="67" t="inlineStr">
        <is>
          <t>Prepared: 31 May 2026</t>
        </is>
      </c>
    </row>
    <row r="5"/>
    <row r="6" ht="15" customHeight="1" s="64">
      <c r="B6" s="68" t="inlineStr">
        <is>
          <t>WORKBOOK TABS</t>
        </is>
      </c>
    </row>
    <row r="7" ht="15" customHeight="1" s="64">
      <c r="B7" s="69" t="inlineStr">
        <is>
          <t>1. Assumptions</t>
        </is>
      </c>
      <c r="C7" s="63" t="inlineStr">
        <is>
          <t>Master assumption set — FX, rates, multiples, scenarios</t>
        </is>
      </c>
    </row>
    <row r="8" ht="15" customHeight="1" s="64">
      <c r="B8" s="69" t="inlineStr">
        <is>
          <t>2. Capitaliply P&amp;L</t>
        </is>
      </c>
      <c r="C8" s="63" t="inlineStr">
        <is>
          <t>2025 Actual vs Q1 2026 annualized + per-app revenue trend</t>
        </is>
      </c>
    </row>
    <row r="9" ht="15" customHeight="1" s="64">
      <c r="B9" s="69" t="inlineStr">
        <is>
          <t>3. Target P&amp;L</t>
        </is>
      </c>
      <c r="C9" s="63" t="inlineStr">
        <is>
          <t>Target company financials, Shopify fee scenario</t>
        </is>
      </c>
    </row>
    <row r="10" ht="15" customHeight="1" s="64">
      <c r="B10" s="69" t="inlineStr">
        <is>
          <t>4. Debt Stack</t>
        </is>
      </c>
      <c r="C10" s="63" t="inlineStr">
        <is>
          <t>All existing + new debt; monthly schedule; covenants</t>
        </is>
      </c>
    </row>
    <row r="11" ht="15" customHeight="1" s="64">
      <c r="B11" s="69" t="inlineStr">
        <is>
          <t>5. Sources &amp; Uses</t>
        </is>
      </c>
      <c r="C11" s="63" t="inlineStr">
        <is>
          <t>$2.4M deal funding plan + investor cash-in</t>
        </is>
      </c>
    </row>
    <row r="12" ht="15" customHeight="1" s="64">
      <c r="B12" s="69" t="inlineStr">
        <is>
          <t>6. DSCR &amp; Leverage</t>
        </is>
      </c>
      <c r="C12" s="63" t="inlineStr">
        <is>
          <t>Debt service coverage Base/Stress; leverage ratios</t>
        </is>
      </c>
    </row>
    <row r="13" ht="15" customHeight="1" s="64">
      <c r="B13" s="69" t="inlineStr">
        <is>
          <t>7. Valuation FF</t>
        </is>
      </c>
      <c r="C13" s="63" t="inlineStr">
        <is>
          <t>Target valuation football field (comps + DCF)</t>
        </is>
      </c>
    </row>
    <row r="14" ht="15" customHeight="1" s="64">
      <c r="B14" s="69" t="inlineStr">
        <is>
          <t>8. Cap Table</t>
        </is>
      </c>
      <c r="C14" s="63" t="inlineStr">
        <is>
          <t>Investor equity scenarios for $500K cash-in</t>
        </is>
      </c>
    </row>
    <row r="15" ht="15" customHeight="1" s="64">
      <c r="B15" s="69" t="inlineStr">
        <is>
          <t>9. Risks Matrix</t>
        </is>
      </c>
      <c r="C15" s="63" t="inlineStr">
        <is>
          <t>Risk register for creditor — severity × likelihood</t>
        </is>
      </c>
    </row>
    <row r="16"/>
    <row r="17"/>
    <row r="18" ht="15" customHeight="1" s="64">
      <c r="B18" s="68" t="inlineStr">
        <is>
          <t>HEADLINE METRICS</t>
        </is>
      </c>
    </row>
    <row r="19" ht="15" customHeight="1" s="64">
      <c r="B19" s="63" t="inlineStr">
        <is>
          <t>Deal price (target acquisition)</t>
        </is>
      </c>
      <c r="C19" s="70" t="n">
        <v>2400000</v>
      </c>
    </row>
    <row r="20" ht="15" customHeight="1" s="64">
      <c r="B20" s="63" t="inlineStr">
        <is>
          <t xml:space="preserve">  of which: new debt</t>
        </is>
      </c>
      <c r="C20" s="71" t="n">
        <v>2000000</v>
      </c>
    </row>
    <row r="21" ht="15" customHeight="1" s="64">
      <c r="B21" s="63" t="inlineStr">
        <is>
          <t xml:space="preserve">  of which: equity investor cash-in</t>
        </is>
      </c>
      <c r="C21" s="71" t="n">
        <v>400000</v>
      </c>
    </row>
    <row r="22" ht="15" customHeight="1" s="64">
      <c r="B22" s="63" t="inlineStr">
        <is>
          <t>Investor total cash-in (incl. WC)</t>
        </is>
      </c>
      <c r="C22" s="70" t="n">
        <v>500000</v>
      </c>
    </row>
    <row r="23"/>
    <row r="24" ht="15" customHeight="1" s="64">
      <c r="B24" s="63" t="inlineStr">
        <is>
          <t>Combined EBITDA (Capitaliply + Target FCF)</t>
        </is>
      </c>
      <c r="C24" s="72">
        <f>'2. Capitaliply P&amp;L'!C16 + '3. Target P&amp;L'!C9</f>
        <v/>
      </c>
    </row>
    <row r="25" ht="15" customHeight="1" s="64">
      <c r="B25" s="63" t="inlineStr">
        <is>
          <t>Total debt post-deal</t>
        </is>
      </c>
      <c r="C25" s="72">
        <f>'4. Debt Stack'!E27</f>
        <v/>
      </c>
    </row>
    <row r="26" ht="15" customHeight="1" s="64">
      <c r="B26" s="63" t="inlineStr">
        <is>
          <t>Debt / EBITDA</t>
        </is>
      </c>
      <c r="C26" s="73">
        <f>C25/C24</f>
        <v/>
      </c>
    </row>
    <row r="27"/>
    <row r="28"/>
    <row r="29"/>
    <row r="30"/>
    <row r="31"/>
    <row r="32"/>
    <row r="33"/>
    <row r="34"/>
    <row r="35"/>
    <row r="36"/>
    <row r="37"/>
    <row r="38"/>
    <row r="39"/>
  </sheetData>
  <mergeCells count="11">
    <mergeCell ref="C14:E14"/>
    <mergeCell ref="C11:E11"/>
    <mergeCell ref="C13:E13"/>
    <mergeCell ref="C8:E8"/>
    <mergeCell ref="C9:E9"/>
    <mergeCell ref="B3:E3"/>
    <mergeCell ref="B2:E2"/>
    <mergeCell ref="C7:E7"/>
    <mergeCell ref="C15:E15"/>
    <mergeCell ref="C12:E12"/>
    <mergeCell ref="C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63" min="1" max="1"/>
    <col width="42" customWidth="1" style="63" min="2" max="2"/>
    <col width="16" customWidth="1" style="63" min="3" max="4"/>
    <col width="40" customWidth="1" style="63" min="5" max="5"/>
  </cols>
  <sheetData>
    <row r="1" ht="15" customHeight="1" s="64">
      <c r="A1" s="74" t="inlineStr">
        <is>
          <t>MASTER ASSUMPTIONS — change BLUE cells to flex scenarios</t>
        </is>
      </c>
    </row>
    <row r="3" ht="15" customHeight="1" s="64">
      <c r="B3" s="75" t="inlineStr">
        <is>
          <t>FX RATES</t>
        </is>
      </c>
    </row>
    <row r="4" ht="15" customHeight="1" s="64">
      <c r="B4" s="63" t="inlineStr">
        <is>
          <t>EUR/USD</t>
        </is>
      </c>
      <c r="C4" s="76" t="n">
        <v>1.08</v>
      </c>
      <c r="E4" s="63" t="inlineStr">
        <is>
          <t>Source: ECB indicative May 2026</t>
        </is>
      </c>
    </row>
    <row r="6" ht="15" customHeight="1" s="64">
      <c r="B6" s="75" t="inlineStr">
        <is>
          <t>DEAL STRUCTURE</t>
        </is>
      </c>
    </row>
    <row r="7" ht="15" customHeight="1" s="64">
      <c r="B7" s="63" t="inlineStr">
        <is>
          <t>Target purchase price</t>
        </is>
      </c>
      <c r="C7" s="71" t="n">
        <v>2400000</v>
      </c>
      <c r="E7" s="63" t="inlineStr">
        <is>
          <t>Per user — $2.4M total</t>
        </is>
      </c>
    </row>
    <row r="8" ht="15" customHeight="1" s="64">
      <c r="B8" s="63" t="inlineStr">
        <is>
          <t>New debt raised</t>
        </is>
      </c>
      <c r="C8" s="71" t="n">
        <v>2000000</v>
      </c>
      <c r="E8" s="63" t="inlineStr">
        <is>
          <t>12% rate, NewCo borrower, Capitaliply guarantor</t>
        </is>
      </c>
    </row>
    <row r="9" ht="15" customHeight="1" s="64">
      <c r="B9" s="63" t="inlineStr">
        <is>
          <t>Equity from investor (cash-in)</t>
        </is>
      </c>
      <c r="C9" s="71" t="n">
        <v>500000</v>
      </c>
      <c r="E9" s="63" t="inlineStr">
        <is>
          <t>$400K to gap + $100K WC</t>
        </is>
      </c>
    </row>
    <row r="10" ht="15" customHeight="1" s="64">
      <c r="B10" s="63" t="inlineStr">
        <is>
          <t>Deal gap (acquisition)</t>
        </is>
      </c>
      <c r="C10" s="77">
        <f>C7-C8</f>
        <v/>
      </c>
      <c r="E10" s="63" t="inlineStr">
        <is>
          <t>Auto-calc: purchase - debt</t>
        </is>
      </c>
    </row>
    <row r="12" ht="15" customHeight="1" s="64">
      <c r="B12" s="75" t="inlineStr">
        <is>
          <t>DEBT TERMS — NEW DEBT</t>
        </is>
      </c>
    </row>
    <row r="13" ht="15" customHeight="1" s="64">
      <c r="B13" s="63" t="inlineStr">
        <is>
          <t>Interest rate</t>
        </is>
      </c>
      <c r="C13" s="78" t="n">
        <v>0.12</v>
      </c>
      <c r="E13" s="63" t="inlineStr">
        <is>
          <t>Per user — 12% senior secured</t>
        </is>
      </c>
    </row>
    <row r="14" ht="15" customHeight="1" s="64">
      <c r="B14" s="63" t="inlineStr">
        <is>
          <t>Tenor (years)</t>
        </is>
      </c>
      <c r="C14" s="79" t="n">
        <v>7</v>
      </c>
      <c r="E14" s="63" t="inlineStr">
        <is>
          <t>Sensitize 5/7/10 years</t>
        </is>
      </c>
    </row>
    <row r="15" ht="15" customHeight="1" s="64">
      <c r="B15" s="63" t="inlineStr">
        <is>
          <t>Amort type</t>
        </is>
      </c>
      <c r="C15" s="80" t="inlineStr">
        <is>
          <t>Interest-only first 2y then amort</t>
        </is>
      </c>
      <c r="E15" s="63" t="inlineStr">
        <is>
          <t>Scenario flag</t>
        </is>
      </c>
    </row>
    <row r="17" ht="15" customHeight="1" s="64">
      <c r="B17" s="75" t="inlineStr">
        <is>
          <t>VALUATION MULTIPLES (Shopify SaaS apps, sub-$1M ARR)</t>
        </is>
      </c>
    </row>
    <row r="18" ht="15" customHeight="1" s="64">
      <c r="B18" s="81" t="inlineStr">
        <is>
          <t>Method</t>
        </is>
      </c>
      <c r="C18" s="81" t="inlineStr">
        <is>
          <t>Low</t>
        </is>
      </c>
      <c r="D18" s="81" t="inlineStr">
        <is>
          <t>High</t>
        </is>
      </c>
      <c r="E18" s="81" t="inlineStr">
        <is>
          <t>Source / commentary</t>
        </is>
      </c>
    </row>
    <row r="19" ht="15" customHeight="1" s="64">
      <c r="B19" s="63" t="inlineStr">
        <is>
          <t>EV / Net Revenue</t>
        </is>
      </c>
      <c r="C19" s="82" t="n">
        <v>2</v>
      </c>
      <c r="D19" s="82" t="n">
        <v>4</v>
      </c>
      <c r="E19" s="63" t="inlineStr">
        <is>
          <t>Acquire.com Shopify deals 2024-2025 (sub-$1M ARR)</t>
        </is>
      </c>
    </row>
    <row r="20" ht="15" customHeight="1" s="64">
      <c r="B20" s="63" t="inlineStr">
        <is>
          <t>EV / Gross Revenue</t>
        </is>
      </c>
      <c r="C20" s="82" t="n">
        <v>1.5</v>
      </c>
      <c r="D20" s="82" t="n">
        <v>3</v>
      </c>
      <c r="E20" s="63" t="inlineStr">
        <is>
          <t>FE International Shopify app comps</t>
        </is>
      </c>
    </row>
    <row r="21" ht="15" customHeight="1" s="64">
      <c r="B21" s="63" t="inlineStr">
        <is>
          <t>EV / FCF (~EBITDA)</t>
        </is>
      </c>
      <c r="C21" s="82" t="n">
        <v>3</v>
      </c>
      <c r="D21" s="82" t="n">
        <v>5</v>
      </c>
      <c r="E21" s="63" t="inlineStr">
        <is>
          <t>TinySeed / Microacquire data</t>
        </is>
      </c>
    </row>
    <row r="22" ht="15" customHeight="1" s="64">
      <c r="B22" s="63" t="inlineStr">
        <is>
          <t>EV / EBITDA (consol)</t>
        </is>
      </c>
      <c r="C22" s="82" t="n">
        <v>4</v>
      </c>
      <c r="D22" s="82" t="n">
        <v>6</v>
      </c>
      <c r="E22" s="63" t="inlineStr">
        <is>
          <t>Roll-up Shopify portfolios trade 4-6x</t>
        </is>
      </c>
    </row>
    <row r="25" ht="15" customHeight="1" s="64">
      <c r="B25" s="75" t="inlineStr">
        <is>
          <t>DCF ASSUMPTIONS</t>
        </is>
      </c>
    </row>
    <row r="26" ht="15" customHeight="1" s="64">
      <c r="B26" s="63" t="inlineStr">
        <is>
          <t>WACC</t>
        </is>
      </c>
      <c r="C26" s="78" t="n">
        <v>0.14</v>
      </c>
      <c r="E26" s="63" t="inlineStr">
        <is>
          <t>Small Shopify SaaS, β=1.3, Rf=4.5%, ERP=5.5%, +size premium</t>
        </is>
      </c>
    </row>
    <row r="27" ht="15" customHeight="1" s="64">
      <c r="B27" s="63" t="inlineStr">
        <is>
          <t>Terminal growth</t>
        </is>
      </c>
      <c r="C27" s="78" t="n">
        <v>0</v>
      </c>
      <c r="E27" s="63" t="inlineStr">
        <is>
          <t>Conservative — portfolio organic is declining</t>
        </is>
      </c>
    </row>
    <row r="28" ht="15" customHeight="1" s="64">
      <c r="B28" s="63" t="inlineStr">
        <is>
          <t>Explicit period (yrs)</t>
        </is>
      </c>
      <c r="C28" s="79" t="n">
        <v>5</v>
      </c>
    </row>
    <row r="29" ht="15" customHeight="1" s="64">
      <c r="B29" s="63" t="inlineStr">
        <is>
          <t>Shopify 15% fee — Base scenario</t>
        </is>
      </c>
      <c r="C29" s="79" t="n">
        <v>0</v>
      </c>
      <c r="E29" s="63" t="inlineStr">
        <is>
          <t>0 = not enforced; 1 = enforced from Y2</t>
        </is>
      </c>
    </row>
    <row r="30" ht="15" customHeight="1" s="64">
      <c r="B30" s="63" t="inlineStr">
        <is>
          <t>Shopify 15% fee — Stress scenario</t>
        </is>
      </c>
      <c r="C30" s="79" t="n">
        <v>1</v>
      </c>
      <c r="E30" s="63" t="inlineStr">
        <is>
          <t>Risk case: Shopify enforces</t>
        </is>
      </c>
    </row>
    <row r="33" ht="15" customHeight="1" s="64">
      <c r="B33" s="75" t="inlineStr">
        <is>
          <t>OPERATING ASSUMPTIONS</t>
        </is>
      </c>
    </row>
    <row r="34" ht="15" customHeight="1" s="64">
      <c r="B34" s="63" t="inlineStr">
        <is>
          <t>Existing portfolio organic growth</t>
        </is>
      </c>
      <c r="C34" s="78" t="n">
        <v>-0.05</v>
      </c>
      <c r="E34" s="63" t="inlineStr">
        <is>
          <t>Per app trend YoY (declining 2-8%)</t>
        </is>
      </c>
    </row>
    <row r="35" ht="15" customHeight="1" s="64">
      <c r="B35" s="63" t="inlineStr">
        <is>
          <t>Target organic growth</t>
        </is>
      </c>
      <c r="C35" s="78" t="n">
        <v>0</v>
      </c>
      <c r="E35" s="63" t="inlineStr">
        <is>
          <t>Conservative — assume flat</t>
        </is>
      </c>
    </row>
    <row r="36" ht="15" customHeight="1" s="64">
      <c r="B36" s="63" t="inlineStr">
        <is>
          <t>Shopify revenue share (target &amp; portfolio)</t>
        </is>
      </c>
      <c r="C36" s="78" t="n">
        <v>0.15</v>
      </c>
      <c r="E36" s="63" t="inlineStr">
        <is>
          <t>If Shopify enforces 15% on these apps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63" min="1" max="1"/>
    <col width="36" customWidth="1" style="63" min="2" max="2"/>
    <col width="16" customWidth="1" style="63" min="3" max="6"/>
  </cols>
  <sheetData>
    <row r="1" ht="15" customHeight="1" s="64">
      <c r="A1" s="74" t="inlineStr">
        <is>
          <t>CAPITALIPLY GROUP — CONSOLIDATED P&amp;L</t>
        </is>
      </c>
    </row>
    <row r="3" ht="15" customHeight="1" s="64">
      <c r="B3" s="83" t="n"/>
      <c r="C3" s="83" t="inlineStr">
        <is>
          <t>FY 2025</t>
        </is>
      </c>
      <c r="D3" s="83" t="inlineStr">
        <is>
          <t>Q1 2026</t>
        </is>
      </c>
      <c r="E3" s="83" t="inlineStr">
        <is>
          <t>2026E (annualized)</t>
        </is>
      </c>
      <c r="F3" s="83" t="inlineStr">
        <is>
          <t>YoY</t>
        </is>
      </c>
    </row>
    <row r="4" ht="15" customHeight="1" s="64">
      <c r="B4" s="81" t="inlineStr">
        <is>
          <t>Revenue</t>
        </is>
      </c>
      <c r="C4" s="84" t="n">
        <v>790145.9300000001</v>
      </c>
      <c r="D4" s="84" t="n">
        <v>315055.4</v>
      </c>
      <c r="E4" s="85">
        <f>D4*4</f>
        <v/>
      </c>
      <c r="F4" s="86">
        <f>IFERROR(E4/C4-1,"-")</f>
        <v/>
      </c>
    </row>
    <row r="5" ht="15" customHeight="1" s="64">
      <c r="B5" s="87" t="inlineStr">
        <is>
          <t>Cost of Revenue</t>
        </is>
      </c>
      <c r="C5" s="71" t="n">
        <v>452865.62</v>
      </c>
      <c r="D5" s="71" t="n">
        <v>201959.55</v>
      </c>
      <c r="E5" s="77">
        <f>D5*4</f>
        <v/>
      </c>
      <c r="F5" s="88">
        <f>IFERROR(E5/C5-1,"-")</f>
        <v/>
      </c>
    </row>
    <row r="6" ht="15" customHeight="1" s="64">
      <c r="B6" s="81" t="inlineStr">
        <is>
          <t>Operating Income</t>
        </is>
      </c>
      <c r="C6" s="84" t="n">
        <v>337280.31</v>
      </c>
      <c r="D6" s="84" t="n">
        <v>113095.85</v>
      </c>
      <c r="E6" s="85">
        <f>D6*4</f>
        <v/>
      </c>
      <c r="F6" s="86">
        <f>IFERROR(E6/C6-1,"-")</f>
        <v/>
      </c>
    </row>
    <row r="8" ht="15" customHeight="1" s="64">
      <c r="B8" s="87" t="inlineStr">
        <is>
          <t>General Business Expenses</t>
        </is>
      </c>
      <c r="C8" s="71" t="n">
        <v>117697.48</v>
      </c>
      <c r="D8" s="71" t="n">
        <v>31690.29</v>
      </c>
      <c r="E8" s="77">
        <f>D8*4</f>
        <v/>
      </c>
      <c r="F8" s="88">
        <f>IFERROR(E8/C8-1,"-")</f>
        <v/>
      </c>
    </row>
    <row r="9" ht="15" customHeight="1" s="64">
      <c r="B9" s="81" t="inlineStr">
        <is>
          <t>Income Before Tax</t>
        </is>
      </c>
      <c r="C9" s="84" t="n">
        <v>219582.83</v>
      </c>
      <c r="D9" s="84" t="n">
        <v>81405.56</v>
      </c>
      <c r="E9" s="85">
        <f>D9*4</f>
        <v/>
      </c>
      <c r="F9" s="86">
        <f>IFERROR(E9/C9-1,"-")</f>
        <v/>
      </c>
    </row>
    <row r="11" ht="15" customHeight="1" s="64">
      <c r="B11" s="87" t="inlineStr">
        <is>
          <t>Amortization (add-back)</t>
        </is>
      </c>
      <c r="C11" s="71" t="n">
        <v>13211.02</v>
      </c>
      <c r="D11" s="71" t="n">
        <v>13025.98</v>
      </c>
      <c r="E11" s="77">
        <f>D11*4</f>
        <v/>
      </c>
      <c r="F11" s="88">
        <f>IFERROR(E11/C11-1,"-")</f>
        <v/>
      </c>
    </row>
    <row r="12" ht="15" customHeight="1" s="64">
      <c r="B12" s="87" t="inlineStr">
        <is>
          <t>Interest paid (add-back)</t>
        </is>
      </c>
      <c r="C12" s="71" t="n">
        <v>20342.64</v>
      </c>
      <c r="D12" s="71" t="n">
        <v>7273.97</v>
      </c>
      <c r="E12" s="77">
        <f>D12*4</f>
        <v/>
      </c>
      <c r="F12" s="88">
        <f>IFERROR(E12/C12-1,"-")</f>
        <v/>
      </c>
    </row>
    <row r="13" ht="15" customHeight="1" s="64">
      <c r="B13" s="81" t="inlineStr">
        <is>
          <t>EBITDA</t>
        </is>
      </c>
      <c r="C13" s="84" t="n">
        <v>253136.49</v>
      </c>
      <c r="D13" s="84" t="n">
        <v>101705.51</v>
      </c>
      <c r="E13" s="85">
        <f>D13*4</f>
        <v/>
      </c>
      <c r="F13" s="86">
        <f>IFERROR(E13/C13-1,"-")</f>
        <v/>
      </c>
    </row>
    <row r="15" ht="15" customHeight="1" s="64">
      <c r="B15" s="75" t="inlineStr">
        <is>
          <t>MARGIN ANALYSIS</t>
        </is>
      </c>
    </row>
    <row r="16" ht="15" customHeight="1" s="64">
      <c r="B16" s="63" t="inlineStr">
        <is>
          <t>Gross margin</t>
        </is>
      </c>
      <c r="C16" s="89">
        <f>C6/C4</f>
        <v/>
      </c>
      <c r="D16" s="89">
        <f>D6/D4</f>
        <v/>
      </c>
      <c r="E16" s="89">
        <f>E6/E4</f>
        <v/>
      </c>
    </row>
    <row r="17" ht="15" customHeight="1" s="64">
      <c r="B17" s="63" t="inlineStr">
        <is>
          <t>EBITDA margin</t>
        </is>
      </c>
      <c r="C17" s="89">
        <f>C13/C4</f>
        <v/>
      </c>
      <c r="D17" s="89">
        <f>D13/D4</f>
        <v/>
      </c>
      <c r="E17" s="89">
        <f>E13/E4</f>
        <v/>
      </c>
    </row>
    <row r="20" ht="15" customHeight="1" s="64">
      <c r="B20" s="75" t="inlineStr">
        <is>
          <t>PER-APP REVENUE (annualized)</t>
        </is>
      </c>
    </row>
    <row r="21" ht="15" customHeight="1" s="64">
      <c r="B21" s="81" t="inlineStr">
        <is>
          <t>App</t>
        </is>
      </c>
      <c r="C21" s="81" t="inlineStr">
        <is>
          <t>2025 ARR</t>
        </is>
      </c>
      <c r="D21" s="81" t="inlineStr">
        <is>
          <t>2026 ARR</t>
        </is>
      </c>
      <c r="E21" s="81" t="inlineStr">
        <is>
          <t>YoY</t>
        </is>
      </c>
      <c r="F21" s="81" t="inlineStr">
        <is>
          <t>Note</t>
        </is>
      </c>
    </row>
    <row r="22" ht="15" customHeight="1" s="64">
      <c r="B22" s="63" t="inlineStr">
        <is>
          <t>MBC Bundle</t>
        </is>
      </c>
      <c r="C22" s="71" t="n">
        <v>423826.69</v>
      </c>
      <c r="D22" s="71" t="n">
        <v>394851.16</v>
      </c>
      <c r="E22" s="89">
        <f>IFERROR(D22/C22-1,"-")</f>
        <v/>
      </c>
      <c r="F22" s="63" t="inlineStr">
        <is>
          <t>Largest app, -7%</t>
        </is>
      </c>
    </row>
    <row r="23" ht="15" customHeight="1" s="64">
      <c r="B23" s="63" t="inlineStr">
        <is>
          <t>Cartly</t>
        </is>
      </c>
      <c r="C23" s="71" t="n">
        <v>100832.84</v>
      </c>
      <c r="D23" s="71" t="n">
        <v>98452.14</v>
      </c>
      <c r="E23" s="89">
        <f>IFERROR(D23/C23-1,"-")</f>
        <v/>
      </c>
      <c r="F23" s="63" t="inlineStr">
        <is>
          <t>Stable -2%</t>
        </is>
      </c>
    </row>
    <row r="24" ht="15" customHeight="1" s="64">
      <c r="B24" s="63" t="inlineStr">
        <is>
          <t>SLOT</t>
        </is>
      </c>
      <c r="C24" s="71" t="n">
        <v>37585.8</v>
      </c>
      <c r="D24" s="71" t="n">
        <v>34750.68</v>
      </c>
      <c r="E24" s="89">
        <f>IFERROR(D24/C24-1,"-")</f>
        <v/>
      </c>
      <c r="F24" s="63" t="inlineStr">
        <is>
          <t>Small, declining</t>
        </is>
      </c>
    </row>
    <row r="25" ht="15" customHeight="1" s="64">
      <c r="B25" s="63" t="inlineStr">
        <is>
          <t>RecurrinGo</t>
        </is>
      </c>
      <c r="C25" s="71" t="n">
        <v>167894.33</v>
      </c>
      <c r="D25" s="71" t="n">
        <v>153795.99</v>
      </c>
      <c r="E25" s="89">
        <f>IFERROR(D25/C25-1,"-")</f>
        <v/>
      </c>
      <c r="F25" s="63" t="inlineStr">
        <is>
          <t>-8% YoY</t>
        </is>
      </c>
    </row>
    <row r="26" ht="15" customHeight="1" s="64">
      <c r="B26" s="63" t="inlineStr">
        <is>
          <t>Split Payments</t>
        </is>
      </c>
      <c r="C26" s="71" t="n">
        <v>185938.02</v>
      </c>
      <c r="D26" s="71" t="n">
        <v>184888.8</v>
      </c>
      <c r="E26" s="89">
        <f>IFERROR(D26/C26-1,"-")</f>
        <v/>
      </c>
      <c r="F26" s="63" t="inlineStr">
        <is>
          <t>Flat</t>
        </is>
      </c>
    </row>
    <row r="27" ht="15" customHeight="1" s="64">
      <c r="B27" s="63" t="inlineStr">
        <is>
          <t>UpChargeFees</t>
        </is>
      </c>
      <c r="C27" s="71" t="n">
        <v>295234.87</v>
      </c>
      <c r="D27" s="71" t="n">
        <v>410985.9</v>
      </c>
      <c r="E27" s="89">
        <f>IFERROR(D27/C27-1,"-")</f>
        <v/>
      </c>
      <c r="F27" s="63" t="inlineStr">
        <is>
          <t>Acquired late 2025 — growth driver</t>
        </is>
      </c>
    </row>
    <row r="28" ht="15" customHeight="1" s="64">
      <c r="B28" s="81" t="inlineStr">
        <is>
          <t>TOTAL portfolio (ARR)</t>
        </is>
      </c>
      <c r="C28" s="90">
        <f>SUM(C22:C27)</f>
        <v/>
      </c>
      <c r="D28" s="90">
        <f>SUM(D22:D27)</f>
        <v/>
      </c>
      <c r="E28" s="91">
        <f>IFERROR(D28/C28-1,"-")</f>
        <v/>
      </c>
      <c r="F28" s="92" t="n"/>
    </row>
    <row r="29" ht="15" customHeight="1" s="64">
      <c r="B29" s="93" t="inlineStr">
        <is>
          <t>ORGANIC (ex-UpChargeFees)</t>
        </is>
      </c>
      <c r="C29" s="94">
        <f>C28-C27</f>
        <v/>
      </c>
      <c r="D29" s="94">
        <f>D28-D27</f>
        <v/>
      </c>
      <c r="E29" s="95">
        <f>IFERROR(D29/C29-1,"-")</f>
        <v/>
      </c>
      <c r="F29" s="96" t="inlineStr">
        <is>
          <t>⚠ ORGANIC PORTFOLIO IS DECLINING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63" min="1" max="1"/>
    <col width="38" customWidth="1" style="63" min="2" max="2"/>
    <col width="16" customWidth="1" style="63" min="3" max="5"/>
    <col width="28" customWidth="1" style="63" min="6" max="6"/>
  </cols>
  <sheetData>
    <row r="1" ht="15" customHeight="1" s="64">
      <c r="A1" s="74" t="inlineStr">
        <is>
          <t>TARGET COMPANY — P&amp;L (LTM as presented by seller)</t>
        </is>
      </c>
    </row>
    <row r="3" ht="15" customHeight="1" s="64">
      <c r="B3" s="75" t="n"/>
      <c r="C3" s="75" t="inlineStr">
        <is>
          <t>LTM ($)</t>
        </is>
      </c>
      <c r="D3" s="75" t="inlineStr">
        <is>
          <t>% of Gross</t>
        </is>
      </c>
      <c r="E3" s="75" t="inlineStr">
        <is>
          <t>Comment</t>
        </is>
      </c>
    </row>
    <row r="4" ht="15" customHeight="1" s="64">
      <c r="B4" s="63" t="inlineStr">
        <is>
          <t>Gross Revenue</t>
        </is>
      </c>
      <c r="C4" s="70" t="n">
        <v>983587</v>
      </c>
      <c r="D4" s="89">
        <f>C4/$C$4</f>
        <v/>
      </c>
      <c r="E4" s="63" t="inlineStr">
        <is>
          <t>Seller-reported</t>
        </is>
      </c>
    </row>
    <row r="5" ht="15" customHeight="1" s="64">
      <c r="B5" s="63" t="inlineStr">
        <is>
          <t>Less: Shopify processing + payment fees</t>
        </is>
      </c>
      <c r="C5" s="97">
        <f>C6-C4</f>
        <v/>
      </c>
      <c r="D5" s="89">
        <f>C5/$C$4</f>
        <v/>
      </c>
      <c r="E5" s="63" t="inlineStr">
        <is>
          <t>≈18% — payment processing only (NO 15% rev share)</t>
        </is>
      </c>
    </row>
    <row r="6" ht="15" customHeight="1" s="64">
      <c r="B6" s="63" t="inlineStr">
        <is>
          <t>Net Revenue (after fees)</t>
        </is>
      </c>
      <c r="C6" s="70" t="n">
        <v>806541</v>
      </c>
      <c r="D6" s="89">
        <f>C6/$C$4</f>
        <v/>
      </c>
    </row>
    <row r="7" ht="15" customHeight="1" s="64">
      <c r="B7" s="63" t="inlineStr">
        <is>
          <t>Operating costs (implied)</t>
        </is>
      </c>
      <c r="C7" s="97">
        <f>C9-C6</f>
        <v/>
      </c>
      <c r="D7" s="89">
        <f>C7/$C$4</f>
        <v/>
      </c>
      <c r="E7" s="63" t="inlineStr">
        <is>
          <t>Plug — only $126K of opex</t>
        </is>
      </c>
    </row>
    <row r="9" ht="15" customHeight="1" s="64">
      <c r="B9" s="92" t="inlineStr">
        <is>
          <t>Free Cash Flow (FCF)</t>
        </is>
      </c>
      <c r="C9" s="98" t="n">
        <v>680541</v>
      </c>
      <c r="D9" s="91">
        <f>C9/$C$4</f>
        <v/>
      </c>
      <c r="E9" s="92" t="n"/>
    </row>
    <row r="12" ht="15" customHeight="1" s="64">
      <c r="B12" s="99" t="inlineStr">
        <is>
          <t>SHOPIFY 15% FEE SCENARIO ANALYSIS</t>
        </is>
      </c>
    </row>
    <row r="13" ht="15" customHeight="1" s="64">
      <c r="B13" s="75" t="inlineStr">
        <is>
          <t>Scenario</t>
        </is>
      </c>
      <c r="C13" s="75" t="inlineStr">
        <is>
          <t>Annual hit</t>
        </is>
      </c>
      <c r="D13" s="75" t="inlineStr">
        <is>
          <t>FCF post-hit</t>
        </is>
      </c>
      <c r="E13" s="75" t="inlineStr">
        <is>
          <t>Comment</t>
        </is>
      </c>
    </row>
    <row r="14" ht="15" customHeight="1" s="64">
      <c r="B14" s="63" t="inlineStr">
        <is>
          <t>Base — NOT enforced (current)</t>
        </is>
      </c>
      <c r="C14" s="97" t="n">
        <v>0</v>
      </c>
      <c r="D14" s="72">
        <f>C9</f>
        <v/>
      </c>
      <c r="E14" s="63" t="inlineStr">
        <is>
          <t>Status quo — what user described</t>
        </is>
      </c>
    </row>
    <row r="15" ht="15" customHeight="1" s="64">
      <c r="B15" s="96" t="inlineStr">
        <is>
          <t>Stress — 15% on Gross applied</t>
        </is>
      </c>
      <c r="C15" s="100">
        <f>C4*'1. Assumptions'!C36</f>
        <v/>
      </c>
      <c r="D15" s="94">
        <f>C9-C15</f>
        <v/>
      </c>
      <c r="E15" s="96" t="inlineStr">
        <is>
          <t>Shopify already does this for apps &gt;$1M ARR</t>
        </is>
      </c>
    </row>
    <row r="16" ht="15" customHeight="1" s="64">
      <c r="B16" s="63" t="inlineStr">
        <is>
          <t>Mid — 15% phased in over 2 yr</t>
        </is>
      </c>
      <c r="C16" s="97">
        <f>C15*0.5</f>
        <v/>
      </c>
      <c r="D16" s="97">
        <f>C9-C16</f>
        <v/>
      </c>
    </row>
    <row r="19" ht="15" customHeight="1" s="64">
      <c r="B19" s="75" t="inlineStr">
        <is>
          <t>TARGET KEY RATIOS</t>
        </is>
      </c>
    </row>
    <row r="20" ht="15" customHeight="1" s="64">
      <c r="B20" s="63" t="inlineStr">
        <is>
          <t>FCF margin (of Gross)</t>
        </is>
      </c>
      <c r="C20" s="89">
        <f>C9/C4</f>
        <v/>
      </c>
    </row>
    <row r="21" ht="15" customHeight="1" s="64">
      <c r="B21" s="63" t="inlineStr">
        <is>
          <t>FCF margin (of Net)</t>
        </is>
      </c>
      <c r="C21" s="89">
        <f>C9/C6</f>
        <v/>
      </c>
    </row>
    <row r="22" ht="15" customHeight="1" s="64">
      <c r="B22" s="63" t="inlineStr">
        <is>
          <t>Take rate (fees % of Gross)</t>
        </is>
      </c>
      <c r="C22" s="89">
        <f>1-C6/C4</f>
        <v/>
      </c>
    </row>
  </sheetData>
  <mergeCells count="2">
    <mergeCell ref="B12:E1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63" min="1" max="1"/>
    <col width="28" customWidth="1" style="63" min="2" max="2"/>
    <col width="8" customWidth="1" style="63" min="3" max="3"/>
    <col width="14" customWidth="1" style="63" min="4" max="5"/>
    <col width="10" customWidth="1" style="63" min="6" max="6"/>
    <col width="14" customWidth="1" style="63" min="7" max="7"/>
    <col width="38" customWidth="1" style="63" min="8" max="8"/>
  </cols>
  <sheetData>
    <row r="1" ht="15" customHeight="1" s="64">
      <c r="A1" s="74" t="inlineStr">
        <is>
          <t>DEBT STACK — Existing + New</t>
        </is>
      </c>
    </row>
    <row r="3" ht="15" customHeight="1" s="64">
      <c r="B3" s="75" t="inlineStr">
        <is>
          <t>Name</t>
        </is>
      </c>
      <c r="C3" s="75" t="inlineStr">
        <is>
          <t>Cur</t>
        </is>
      </c>
      <c r="D3" s="75" t="inlineStr">
        <is>
          <t>Principal</t>
        </is>
      </c>
      <c r="E3" s="75" t="inlineStr">
        <is>
          <t>USD-equiv</t>
        </is>
      </c>
      <c r="F3" s="75" t="inlineStr">
        <is>
          <t>Rate</t>
        </is>
      </c>
      <c r="G3" s="75" t="inlineStr">
        <is>
          <t>Annual int.</t>
        </is>
      </c>
      <c r="H3" s="75" t="inlineStr">
        <is>
          <t>Comment</t>
        </is>
      </c>
    </row>
    <row r="4" ht="15" customHeight="1" s="64">
      <c r="B4" s="75" t="inlineStr">
        <is>
          <t>CPTN DEBTS</t>
        </is>
      </c>
      <c r="C4" s="101" t="n"/>
      <c r="D4" s="101" t="n"/>
      <c r="E4" s="101" t="n"/>
      <c r="F4" s="101" t="n"/>
      <c r="G4" s="101" t="n"/>
      <c r="H4" s="101" t="n"/>
    </row>
    <row r="5" ht="15" customHeight="1" s="64">
      <c r="B5" s="63" t="inlineStr">
        <is>
          <t>Andrey Lychkouski</t>
        </is>
      </c>
      <c r="C5" s="102" t="inlineStr">
        <is>
          <t>USD</t>
        </is>
      </c>
      <c r="D5" s="71" t="n">
        <v>200000</v>
      </c>
      <c r="E5" s="77">
        <f>IF(C5="EUR",D5*'1. Assumptions'!$C$4,D5)</f>
        <v/>
      </c>
      <c r="F5" s="78" t="n">
        <v>0.15</v>
      </c>
      <c r="G5" s="97">
        <f>E5*F5</f>
        <v/>
      </c>
      <c r="H5" s="63" t="inlineStr">
        <is>
          <t>Due 25.12.2026 — penalty risk if no rollover</t>
        </is>
      </c>
    </row>
    <row r="6" ht="15" customHeight="1" s="64">
      <c r="B6" s="63" t="inlineStr">
        <is>
          <t>AG-Operations</t>
        </is>
      </c>
      <c r="C6" s="102" t="inlineStr">
        <is>
          <t>USD</t>
        </is>
      </c>
      <c r="D6" s="71" t="n">
        <v>928</v>
      </c>
      <c r="E6" s="77">
        <f>IF(C6="EUR",D6*'1. Assumptions'!$C$4,D6)</f>
        <v/>
      </c>
      <c r="F6" s="78" t="n">
        <v>0.08</v>
      </c>
      <c r="G6" s="97">
        <f>E6*F6</f>
        <v/>
      </c>
      <c r="H6" s="63" t="inlineStr">
        <is>
          <t>Closing next month</t>
        </is>
      </c>
    </row>
    <row r="7" ht="15" customHeight="1" s="64">
      <c r="B7" s="63" t="inlineStr">
        <is>
          <t>Yuri Lavkov (Cash)</t>
        </is>
      </c>
      <c r="C7" s="102" t="inlineStr">
        <is>
          <t>EUR</t>
        </is>
      </c>
      <c r="D7" s="103" t="n">
        <v>33284</v>
      </c>
      <c r="E7" s="77">
        <f>IF(C7="EUR",D7*'1. Assumptions'!$C$4,D7)</f>
        <v/>
      </c>
      <c r="F7" s="78" t="n">
        <v>0.12</v>
      </c>
      <c r="G7" s="97">
        <f>E7*F7</f>
        <v/>
      </c>
      <c r="H7" s="63" t="inlineStr">
        <is>
          <t>INFORMAL — crypto repayment — legal risk</t>
        </is>
      </c>
    </row>
    <row r="8" ht="15" customHeight="1" s="64">
      <c r="B8" s="63" t="inlineStr">
        <is>
          <t>Yuri Lavkov (CPTN)</t>
        </is>
      </c>
      <c r="C8" s="102" t="inlineStr">
        <is>
          <t>EUR</t>
        </is>
      </c>
      <c r="D8" s="103" t="n">
        <v>54155</v>
      </c>
      <c r="E8" s="77">
        <f>IF(C8="EUR",D8*'1. Assumptions'!$C$4,D8)</f>
        <v/>
      </c>
      <c r="F8" s="78" t="n">
        <v>0.15</v>
      </c>
      <c r="G8" s="97">
        <f>E8*F8</f>
        <v/>
      </c>
      <c r="H8" s="63" t="inlineStr">
        <is>
          <t>Full repay by May 2027</t>
        </is>
      </c>
    </row>
    <row r="9" ht="15" customHeight="1" s="64">
      <c r="B9" s="63" t="inlineStr">
        <is>
          <t>Vladimir Trofimenko</t>
        </is>
      </c>
      <c r="C9" s="102" t="inlineStr">
        <is>
          <t>EUR</t>
        </is>
      </c>
      <c r="D9" s="103" t="n">
        <v>7805</v>
      </c>
      <c r="E9" s="77">
        <f>IF(C9="EUR",D9*'1. Assumptions'!$C$4,D9)</f>
        <v/>
      </c>
      <c r="F9" s="78" t="n">
        <v>0.06</v>
      </c>
      <c r="G9" s="97">
        <f>E9*F9</f>
        <v/>
      </c>
      <c r="H9" s="63" t="inlineStr">
        <is>
          <t>Equal monthly installments</t>
        </is>
      </c>
    </row>
    <row r="10" ht="15" customHeight="1" s="64">
      <c r="B10" s="75" t="inlineStr">
        <is>
          <t>CAPITALIPLY DEBTS</t>
        </is>
      </c>
      <c r="C10" s="101" t="n"/>
      <c r="D10" s="101" t="n"/>
      <c r="E10" s="101" t="n"/>
      <c r="F10" s="101" t="n"/>
      <c r="G10" s="101" t="n"/>
      <c r="H10" s="101" t="n"/>
    </row>
    <row r="11" ht="15" customHeight="1" s="64">
      <c r="B11" s="63" t="inlineStr">
        <is>
          <t>Dmitri Filimonov</t>
        </is>
      </c>
      <c r="C11" s="102" t="inlineStr">
        <is>
          <t>USD</t>
        </is>
      </c>
      <c r="D11" s="71" t="n">
        <v>299905</v>
      </c>
      <c r="E11" s="77">
        <f>IF(C11="EUR",D11*'1. Assumptions'!$C$4,D11)</f>
        <v/>
      </c>
      <c r="F11" s="78" t="n">
        <v>0.15</v>
      </c>
      <c r="G11" s="97">
        <f>E11*F11</f>
        <v/>
      </c>
      <c r="H11" s="63" t="inlineStr">
        <is>
          <t>Due June 2028 — largest single piece</t>
        </is>
      </c>
    </row>
    <row r="12" ht="15" customHeight="1" s="64">
      <c r="B12" s="63" t="inlineStr">
        <is>
          <t>Tomashevich (Split)</t>
        </is>
      </c>
      <c r="C12" s="102" t="inlineStr">
        <is>
          <t>USD</t>
        </is>
      </c>
      <c r="D12" s="71" t="n">
        <v>15748</v>
      </c>
      <c r="E12" s="77">
        <f>IF(C12="EUR",D12*'1. Assumptions'!$C$4,D12)</f>
        <v/>
      </c>
      <c r="F12" s="78" t="n">
        <v>0</v>
      </c>
      <c r="G12" s="97">
        <f>E12*F12</f>
        <v/>
      </c>
      <c r="H12" s="63" t="inlineStr">
        <is>
          <t>Repaid w/ equity buyout</t>
        </is>
      </c>
    </row>
    <row r="13" ht="15" customHeight="1" s="64">
      <c r="B13" s="63" t="inlineStr">
        <is>
          <t>Yan Stayetski</t>
        </is>
      </c>
      <c r="C13" s="102" t="inlineStr">
        <is>
          <t>USD</t>
        </is>
      </c>
      <c r="D13" s="71" t="n">
        <v>100000</v>
      </c>
      <c r="E13" s="77">
        <f>IF(C13="EUR",D13*'1. Assumptions'!$C$4,D13)</f>
        <v/>
      </c>
      <c r="F13" s="78" t="n">
        <v>0.05</v>
      </c>
      <c r="G13" s="97">
        <f>E13*F13</f>
        <v/>
      </c>
      <c r="H13" s="63" t="inlineStr">
        <is>
          <t>Due Oct 2028 + 3% equity kicker (UpCharge sale)</t>
        </is>
      </c>
    </row>
    <row r="14" ht="15" customHeight="1" s="64">
      <c r="B14" s="63" t="inlineStr">
        <is>
          <t>Dmitri Kurilo</t>
        </is>
      </c>
      <c r="C14" s="102" t="inlineStr">
        <is>
          <t>USD</t>
        </is>
      </c>
      <c r="D14" s="71" t="n">
        <v>50000</v>
      </c>
      <c r="E14" s="77">
        <f>IF(C14="EUR",D14*'1. Assumptions'!$C$4,D14)</f>
        <v/>
      </c>
      <c r="F14" s="78" t="n">
        <v>0.05</v>
      </c>
      <c r="G14" s="97">
        <f>E14*F14</f>
        <v/>
      </c>
      <c r="H14" s="63" t="inlineStr">
        <is>
          <t>Due Oct 2028 + 1.5% equity kicker</t>
        </is>
      </c>
    </row>
    <row r="15" ht="15" customHeight="1" s="64">
      <c r="B15" s="63" t="inlineStr">
        <is>
          <t>MageWorx (15%)</t>
        </is>
      </c>
      <c r="C15" s="102" t="inlineStr">
        <is>
          <t>USD</t>
        </is>
      </c>
      <c r="D15" s="71" t="n">
        <v>100000</v>
      </c>
      <c r="E15" s="77">
        <f>IF(C15="EUR",D15*'1. Assumptions'!$C$4,D15)</f>
        <v/>
      </c>
      <c r="F15" s="78" t="n">
        <v>0.15</v>
      </c>
      <c r="G15" s="97">
        <f>E15*F15</f>
        <v/>
      </c>
      <c r="H15" s="63" t="inlineStr">
        <is>
          <t>Due 25.12.2026 — penalty risk</t>
        </is>
      </c>
    </row>
    <row r="16" ht="15" customHeight="1" s="64">
      <c r="B16" s="63" t="inlineStr">
        <is>
          <t>MageWorx Install.</t>
        </is>
      </c>
      <c r="C16" s="102" t="inlineStr">
        <is>
          <t>USD</t>
        </is>
      </c>
      <c r="D16" s="71" t="n">
        <v>60000</v>
      </c>
      <c r="E16" s="77">
        <f>IF(C16="EUR",D16*'1. Assumptions'!$C$4,D16)</f>
        <v/>
      </c>
      <c r="F16" s="78" t="n">
        <v>0</v>
      </c>
      <c r="G16" s="97">
        <f>E16*F16</f>
        <v/>
      </c>
      <c r="H16" s="63" t="inlineStr">
        <is>
          <t>Zero-rate, paid in installments</t>
        </is>
      </c>
    </row>
    <row r="17" ht="15" customHeight="1" s="64">
      <c r="B17" s="63" t="inlineStr">
        <is>
          <t>EpsiFund</t>
        </is>
      </c>
      <c r="C17" s="102" t="inlineStr">
        <is>
          <t>USD</t>
        </is>
      </c>
      <c r="D17" s="71" t="n">
        <v>78063</v>
      </c>
      <c r="E17" s="77">
        <f>IF(C17="EUR",D17*'1. Assumptions'!$C$4,D17)</f>
        <v/>
      </c>
      <c r="F17" s="78" t="n">
        <v>0</v>
      </c>
      <c r="G17" s="97">
        <f>E17*F17</f>
        <v/>
      </c>
      <c r="H17" s="63" t="inlineStr">
        <is>
          <t>Takes 19.5% of UpCharge revenue every 2 weeks</t>
        </is>
      </c>
    </row>
    <row r="18" ht="15" customHeight="1" s="64">
      <c r="B18" s="63" t="inlineStr">
        <is>
          <t>AG MBC Bundles</t>
        </is>
      </c>
      <c r="C18" s="102" t="inlineStr">
        <is>
          <t>USD</t>
        </is>
      </c>
      <c r="D18" s="71" t="n">
        <v>58384</v>
      </c>
      <c r="E18" s="77">
        <f>IF(C18="EUR",D18*'1. Assumptions'!$C$4,D18)</f>
        <v/>
      </c>
      <c r="F18" s="78" t="n">
        <v>0.08</v>
      </c>
      <c r="G18" s="97">
        <f>E18*F18</f>
        <v/>
      </c>
      <c r="H18" s="63" t="inlineStr">
        <is>
          <t>Repay when possible</t>
        </is>
      </c>
    </row>
    <row r="19" ht="15" customHeight="1" s="64">
      <c r="B19" s="63" t="inlineStr">
        <is>
          <t>SpurIT (Cronics)</t>
        </is>
      </c>
      <c r="C19" s="102" t="inlineStr">
        <is>
          <t>EUR</t>
        </is>
      </c>
      <c r="D19" s="103" t="n">
        <v>60508</v>
      </c>
      <c r="E19" s="77">
        <f>IF(C19="EUR",D19*'1. Assumptions'!$C$4,D19)</f>
        <v/>
      </c>
      <c r="F19" s="78" t="n">
        <v>0.12</v>
      </c>
      <c r="G19" s="97">
        <f>E19*F19</f>
        <v/>
      </c>
      <c r="H19" s="63" t="inlineStr">
        <is>
          <t>Repay when possible</t>
        </is>
      </c>
    </row>
    <row r="20" ht="15" customHeight="1" s="64">
      <c r="B20" s="81" t="inlineStr">
        <is>
          <t>TOTAL EXISTING DEBT</t>
        </is>
      </c>
      <c r="C20" s="92" t="n"/>
      <c r="D20" s="92" t="n"/>
      <c r="E20" s="104">
        <f>SUMIF(C4:C19,"USD",E4:E19)+SUMIF(C4:C19,"EUR",E4:E19)</f>
        <v/>
      </c>
      <c r="F20" s="92" t="n"/>
      <c r="G20" s="90">
        <f>SUM(G4:G19)</f>
        <v/>
      </c>
      <c r="H20" s="92" t="n"/>
    </row>
    <row r="22" ht="15" customHeight="1" s="64">
      <c r="B22" s="63" t="inlineStr">
        <is>
          <t>MageWorx Earn-Out (cash drain May-Dec 2026)</t>
        </is>
      </c>
      <c r="D22" s="71" t="n">
        <v>225205</v>
      </c>
      <c r="H22" s="63" t="inlineStr">
        <is>
          <t>Off-balance — contractual obligation</t>
        </is>
      </c>
    </row>
    <row r="24" ht="15" customHeight="1" s="64">
      <c r="B24" s="75" t="inlineStr">
        <is>
          <t>NEW DEBT (TARGET ACQUISITION)</t>
        </is>
      </c>
      <c r="C24" s="101" t="n"/>
      <c r="D24" s="101" t="n"/>
      <c r="E24" s="101" t="n"/>
      <c r="F24" s="101" t="n"/>
      <c r="G24" s="101" t="n"/>
      <c r="H24" s="101" t="n"/>
    </row>
    <row r="25" ht="15" customHeight="1" s="64">
      <c r="B25" s="63" t="inlineStr">
        <is>
          <t>Senior secured debt</t>
        </is>
      </c>
      <c r="C25" s="63" t="inlineStr">
        <is>
          <t>USD</t>
        </is>
      </c>
      <c r="D25" s="72">
        <f>'1. Assumptions'!C8</f>
        <v/>
      </c>
      <c r="E25" s="97">
        <f>D25</f>
        <v/>
      </c>
      <c r="F25" s="105">
        <f>'1. Assumptions'!C13</f>
        <v/>
      </c>
      <c r="G25" s="97">
        <f>E25*F25</f>
        <v/>
      </c>
      <c r="H25" s="63" t="inlineStr">
        <is>
          <t>12% / 7yr (per assumptions). NewCo borrower, holding guarantor</t>
        </is>
      </c>
    </row>
    <row r="27" ht="15" customHeight="1" s="64">
      <c r="B27" s="106" t="inlineStr">
        <is>
          <t>TOTAL DEBT POST-DEAL</t>
        </is>
      </c>
      <c r="C27" s="106" t="n"/>
      <c r="D27" s="106" t="n"/>
      <c r="E27" s="107">
        <f>E20+E25</f>
        <v/>
      </c>
      <c r="F27" s="106" t="n"/>
      <c r="G27" s="107">
        <f>G20+G25</f>
        <v/>
      </c>
      <c r="H27" s="106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63" min="1" max="1"/>
    <col width="38" customWidth="1" style="63" min="2" max="2"/>
    <col width="18" customWidth="1" style="63" min="3" max="3"/>
    <col width="14" customWidth="1" style="63" min="4" max="4"/>
    <col width="38" customWidth="1" style="63" min="5" max="5"/>
  </cols>
  <sheetData>
    <row r="1" ht="15" customHeight="1" s="64">
      <c r="A1" s="74" t="inlineStr">
        <is>
          <t>SOURCES &amp; USES — $2.4M Acquisition</t>
        </is>
      </c>
    </row>
    <row r="3" ht="15" customHeight="1" s="64">
      <c r="B3" s="75" t="inlineStr">
        <is>
          <t>SOURCES</t>
        </is>
      </c>
      <c r="C3" s="101" t="n"/>
      <c r="D3" s="101" t="n"/>
    </row>
    <row r="4" ht="15" customHeight="1" s="64">
      <c r="B4" s="63" t="inlineStr">
        <is>
          <t>New debt (senior secured, 12%, 7yr)</t>
        </is>
      </c>
      <c r="C4" s="72">
        <f>'1. Assumptions'!C8</f>
        <v/>
      </c>
      <c r="D4" s="89">
        <f>C4/C8</f>
        <v/>
      </c>
    </row>
    <row r="5" ht="15" customHeight="1" s="64">
      <c r="B5" s="63" t="inlineStr">
        <is>
          <t>Equity — investor cash-in</t>
        </is>
      </c>
      <c r="C5" s="71" t="n">
        <v>400000</v>
      </c>
      <c r="D5" s="89">
        <f>C5/C8</f>
        <v/>
      </c>
      <c r="E5" s="63" t="inlineStr">
        <is>
          <t>of $500K investor cash; $100K stays for WC</t>
        </is>
      </c>
    </row>
    <row r="6" ht="15" customHeight="1" s="64">
      <c r="B6" s="63" t="inlineStr">
        <is>
          <t>Founder rollover / sponsor</t>
        </is>
      </c>
      <c r="C6" s="71" t="n">
        <v>0</v>
      </c>
      <c r="D6" s="89">
        <f>C6/C8</f>
        <v/>
      </c>
      <c r="E6" s="63" t="inlineStr">
        <is>
          <t>Assumed 0 — confirm with sponsor</t>
        </is>
      </c>
    </row>
    <row r="8" ht="15" customHeight="1" s="64">
      <c r="B8" s="81" t="inlineStr">
        <is>
          <t>TOTAL SOURCES</t>
        </is>
      </c>
      <c r="C8" s="104">
        <f>SUM(C4:C7)</f>
        <v/>
      </c>
      <c r="D8" s="91">
        <f>SUM(D4:D7)</f>
        <v/>
      </c>
      <c r="E8" s="92" t="n"/>
    </row>
    <row r="11" ht="15" customHeight="1" s="64">
      <c r="B11" s="75" t="inlineStr">
        <is>
          <t>USES</t>
        </is>
      </c>
      <c r="C11" s="101" t="n"/>
      <c r="D11" s="101" t="n"/>
    </row>
    <row r="12" ht="15" customHeight="1" s="64">
      <c r="B12" s="63" t="inlineStr">
        <is>
          <t>Purchase price (target)</t>
        </is>
      </c>
      <c r="C12" s="72">
        <f>'1. Assumptions'!C7</f>
        <v/>
      </c>
      <c r="D12" s="89">
        <f>C12/C16</f>
        <v/>
      </c>
    </row>
    <row r="13" ht="15" customHeight="1" s="64">
      <c r="B13" s="63" t="inlineStr">
        <is>
          <t>Deal fees (legal, advisory, ~3%)</t>
        </is>
      </c>
      <c r="C13" s="97">
        <f>C12*0.03</f>
        <v/>
      </c>
      <c r="D13" s="89">
        <f>C13/C16</f>
        <v/>
      </c>
    </row>
    <row r="14" ht="15" customHeight="1" s="64">
      <c r="B14" s="63" t="inlineStr">
        <is>
          <t>Working capital reserve</t>
        </is>
      </c>
      <c r="C14" s="71" t="n">
        <v>100000</v>
      </c>
      <c r="D14" s="89">
        <f>C14/C16</f>
        <v/>
      </c>
    </row>
    <row r="15" ht="15" customHeight="1" s="64">
      <c r="B15" s="63" t="inlineStr">
        <is>
          <t>Plug / cash to balance sheet</t>
        </is>
      </c>
      <c r="C15" s="97">
        <f>C8-C12-C13-C14</f>
        <v/>
      </c>
      <c r="D15" s="89">
        <f>C15/C16</f>
        <v/>
      </c>
      <c r="E15" s="63" t="inlineStr">
        <is>
          <t>If negative, sources do not cover uses</t>
        </is>
      </c>
    </row>
    <row r="16" ht="15" customHeight="1" s="64">
      <c r="B16" s="81" t="inlineStr">
        <is>
          <t>TOTAL USES</t>
        </is>
      </c>
      <c r="C16" s="104">
        <f>SUM(C12:C15)</f>
        <v/>
      </c>
      <c r="D16" s="91">
        <f>SUM(D12:D15)</f>
        <v/>
      </c>
      <c r="E16" s="92" t="n"/>
    </row>
    <row r="18" ht="15" customHeight="1" s="64">
      <c r="B18" s="63" t="inlineStr">
        <is>
          <t>BALANCE CHECK</t>
        </is>
      </c>
      <c r="C18" s="108">
        <f>C8-C16</f>
        <v/>
      </c>
      <c r="E18" s="63" t="inlineStr">
        <is>
          <t>Must be zero or positive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63" min="1" max="1"/>
    <col width="42" customWidth="1" style="63" min="2" max="2"/>
    <col width="18" customWidth="1" style="63" min="3" max="5"/>
    <col width="30" customWidth="1" style="63" min="6" max="6"/>
  </cols>
  <sheetData>
    <row r="1" ht="15" customHeight="1" s="64">
      <c r="A1" s="74" t="inlineStr">
        <is>
          <t>DSCR &amp; LEVERAGE ANALYSIS — Lender View</t>
        </is>
      </c>
    </row>
    <row r="3" ht="15" customHeight="1" s="64">
      <c r="B3" s="75" t="n"/>
      <c r="C3" s="75" t="inlineStr">
        <is>
          <t>Base</t>
        </is>
      </c>
      <c r="D3" s="75" t="inlineStr">
        <is>
          <t>Stress (Shopify 15%)</t>
        </is>
      </c>
      <c r="E3" s="75" t="inlineStr">
        <is>
          <t>Severe (15% + organic -10%)</t>
        </is>
      </c>
      <c r="F3" s="75" t="inlineStr">
        <is>
          <t>Comment</t>
        </is>
      </c>
    </row>
    <row r="4" ht="15" customHeight="1" s="64">
      <c r="B4" s="63" t="inlineStr">
        <is>
          <t>EBITDA — Capitaliply (existing)</t>
        </is>
      </c>
      <c r="C4" s="72">
        <f>'2. Capitaliply P&amp;L'!E13</f>
        <v/>
      </c>
      <c r="D4" s="97">
        <f>C4-'2. Capitaliply P&amp;L'!E36*'1. Assumptions'!$C$36</f>
        <v/>
      </c>
      <c r="E4" s="97">
        <f>D4*0.9</f>
        <v/>
      </c>
    </row>
    <row r="5" ht="15" customHeight="1" s="64">
      <c r="B5" s="63" t="inlineStr">
        <is>
          <t>FCF — Target</t>
        </is>
      </c>
      <c r="C5" s="72">
        <f>'3. Target P&amp;L'!C9</f>
        <v/>
      </c>
      <c r="D5" s="97">
        <f>'3. Target P&amp;L'!D15</f>
        <v/>
      </c>
      <c r="E5" s="97">
        <f>D5*0.9</f>
        <v/>
      </c>
    </row>
    <row r="6" ht="15" customHeight="1" s="64">
      <c r="B6" s="81" t="inlineStr">
        <is>
          <t>Combined cash EBITDA</t>
        </is>
      </c>
      <c r="C6" s="104">
        <f>SUM(C4:C5)</f>
        <v/>
      </c>
      <c r="D6" s="104">
        <f>SUM(D4:D5)</f>
        <v/>
      </c>
      <c r="E6" s="104">
        <f>SUM(E4:E5)</f>
        <v/>
      </c>
      <c r="F6" s="92" t="n"/>
    </row>
    <row r="9" ht="15" customHeight="1" s="64">
      <c r="B9" s="75" t="inlineStr">
        <is>
          <t>ANNUAL DEBT SERVICE</t>
        </is>
      </c>
      <c r="C9" s="101" t="n"/>
      <c r="D9" s="101" t="n"/>
      <c r="E9" s="101" t="n"/>
      <c r="F9" s="101" t="n"/>
    </row>
    <row r="10" ht="15" customHeight="1" s="64">
      <c r="B10" s="63" t="inlineStr">
        <is>
          <t>Existing debt — annual P+I (per monthly schedule x 11.5)</t>
        </is>
      </c>
      <c r="C10" s="71" t="n">
        <v>672579</v>
      </c>
      <c r="D10" s="97">
        <f>C10</f>
        <v/>
      </c>
      <c r="E10" s="97">
        <f>C10</f>
        <v/>
      </c>
      <c r="F10" s="63" t="inlineStr">
        <is>
          <t>Includes earn-out, principal amort</t>
        </is>
      </c>
    </row>
    <row r="11" ht="15" customHeight="1" s="64">
      <c r="B11" s="63" t="inlineStr">
        <is>
          <t>New debt — annual P+I</t>
        </is>
      </c>
      <c r="C11" s="77">
        <f>-PMT('1. Assumptions'!C13/12,'1. Assumptions'!C14*12,'1. Assumptions'!C8)*12</f>
        <v/>
      </c>
      <c r="D11" s="97">
        <f>C11</f>
        <v/>
      </c>
      <c r="E11" s="97">
        <f>C11</f>
        <v/>
      </c>
      <c r="F11" s="63" t="inlineStr">
        <is>
          <t>Auto-calc from assumptions (rate, tenor)</t>
        </is>
      </c>
    </row>
    <row r="12" ht="15" customHeight="1" s="64">
      <c r="B12" s="81" t="inlineStr">
        <is>
          <t>TOTAL DEBT SERVICE</t>
        </is>
      </c>
      <c r="C12" s="104">
        <f>SUM(C10:C11)</f>
        <v/>
      </c>
      <c r="D12" s="104">
        <f>SUM(D10:D11)</f>
        <v/>
      </c>
      <c r="E12" s="104">
        <f>SUM(E10:E11)</f>
        <v/>
      </c>
      <c r="F12" s="92" t="n"/>
    </row>
    <row r="15" ht="15" customHeight="1" s="64">
      <c r="B15" s="75" t="inlineStr">
        <is>
          <t>DEBT SERVICE COVERAGE RATIO (DSCR)</t>
        </is>
      </c>
      <c r="C15" s="101" t="n"/>
      <c r="D15" s="101" t="n"/>
      <c r="E15" s="101" t="n"/>
      <c r="F15" s="101" t="n"/>
    </row>
    <row r="16" ht="15" customHeight="1" s="64">
      <c r="B16" s="69" t="inlineStr">
        <is>
          <t>DSCR (EBITDA / Debt Service)</t>
        </is>
      </c>
      <c r="C16" s="73">
        <f>C6/C12</f>
        <v/>
      </c>
      <c r="D16" s="73">
        <f>D6/D12</f>
        <v/>
      </c>
      <c r="E16" s="73">
        <f>E6/E12</f>
        <v/>
      </c>
      <c r="F16" s="63" t="inlineStr">
        <is>
          <t>Standard covenant: ≥1.25x</t>
        </is>
      </c>
    </row>
    <row r="17" ht="15" customHeight="1" s="64">
      <c r="B17" s="63" t="inlineStr">
        <is>
          <t>DSCR Covenant pass? (≥1.25x)</t>
        </is>
      </c>
      <c r="C17" s="109">
        <f>IF(C16&gt;=1.25,"✓ PASS","✗ FAIL")</f>
        <v/>
      </c>
      <c r="D17" s="109">
        <f>IF(D16&gt;=1.25,"✓ PASS","✗ FAIL")</f>
        <v/>
      </c>
      <c r="E17" s="109">
        <f>IF(E16&gt;=1.25,"✓ PASS","✗ FAIL")</f>
        <v/>
      </c>
    </row>
    <row r="20" ht="15" customHeight="1" s="64">
      <c r="B20" s="75" t="inlineStr">
        <is>
          <t>LEVERAGE RATIOS</t>
        </is>
      </c>
      <c r="C20" s="101" t="n"/>
      <c r="D20" s="101" t="n"/>
      <c r="E20" s="101" t="n"/>
      <c r="F20" s="101" t="n"/>
    </row>
    <row r="21" ht="15" customHeight="1" s="64">
      <c r="B21" s="63" t="inlineStr">
        <is>
          <t>Total Debt</t>
        </is>
      </c>
      <c r="C21" s="72">
        <f>'4. Debt Stack'!E27</f>
        <v/>
      </c>
      <c r="D21" s="97">
        <f>C21</f>
        <v/>
      </c>
      <c r="E21" s="97">
        <f>C21</f>
        <v/>
      </c>
    </row>
    <row r="22" ht="15" customHeight="1" s="64">
      <c r="B22" s="63" t="inlineStr">
        <is>
          <t>Debt / EBITDA</t>
        </is>
      </c>
      <c r="C22" s="110">
        <f>C21/C6</f>
        <v/>
      </c>
      <c r="D22" s="110">
        <f>D21/D6</f>
        <v/>
      </c>
      <c r="E22" s="110">
        <f>E21/E6</f>
        <v/>
      </c>
      <c r="F22" s="63" t="inlineStr">
        <is>
          <t>Typical SMB ceiling: 3.5-4.0x</t>
        </is>
      </c>
    </row>
    <row r="23" ht="15" customHeight="1" s="64">
      <c r="B23" s="63" t="inlineStr">
        <is>
          <t>Interest Coverage (EBITDA / Interest)</t>
        </is>
      </c>
      <c r="C23" s="111">
        <f>C6/('4. Debt Stack'!G27)</f>
        <v/>
      </c>
      <c r="D23" s="110">
        <f>D6/('4. Debt Stack'!G27)</f>
        <v/>
      </c>
      <c r="E23" s="110">
        <f>E6/('4. Debt Stack'!G27)</f>
        <v/>
      </c>
      <c r="F23" s="63" t="inlineStr">
        <is>
          <t>Typical: ≥3x</t>
        </is>
      </c>
    </row>
    <row r="26" ht="15" customHeight="1" s="64">
      <c r="B26" s="112" t="inlineStr">
        <is>
          <t>LENDER VERDICT</t>
        </is>
      </c>
      <c r="C26" s="113" t="n"/>
      <c r="D26" s="113" t="n"/>
      <c r="E26" s="113" t="n"/>
      <c r="F26" s="113" t="n"/>
    </row>
    <row r="27" ht="15" customHeight="1" s="64">
      <c r="B27" s="63" t="inlineStr">
        <is>
          <t>Base scenario:</t>
        </is>
      </c>
      <c r="C27" s="63">
        <f>IF(C16&gt;=1.25,"✓ Bankable","⚠ Marginal (covenant tight)")</f>
        <v/>
      </c>
    </row>
    <row r="28" ht="15" customHeight="1" s="64">
      <c r="B28" s="63" t="inlineStr">
        <is>
          <t>Stress (Shopify 15%):</t>
        </is>
      </c>
      <c r="C28" s="63">
        <f>IF(D16&gt;=1.25,"✓ Bankable","✗ Does NOT cover debt service")</f>
        <v/>
      </c>
    </row>
    <row r="29" ht="15" customHeight="1" s="64">
      <c r="B29" s="63" t="inlineStr">
        <is>
          <t>Severe (Shopify + portfolio decline):</t>
        </is>
      </c>
      <c r="C29" s="63">
        <f>IF(E16&gt;=1.25,"✓ Bankable","✗ DISTRESSED — default scenario")</f>
        <v/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63" min="1" max="1"/>
    <col width="38" customWidth="1" style="63" min="2" max="2"/>
    <col width="16" customWidth="1" style="63" min="3" max="5"/>
    <col width="30" customWidth="1" style="63" min="6" max="6"/>
  </cols>
  <sheetData>
    <row r="1" ht="15" customHeight="1" s="64">
      <c r="A1" s="74" t="inlineStr">
        <is>
          <t>TARGET VALUATION — Football Field</t>
        </is>
      </c>
    </row>
    <row r="3" ht="15" customHeight="1" s="64">
      <c r="B3" s="75" t="n"/>
      <c r="C3" s="75" t="inlineStr">
        <is>
          <t>Low ($)</t>
        </is>
      </c>
      <c r="D3" s="75" t="inlineStr">
        <is>
          <t>Mid ($)</t>
        </is>
      </c>
      <c r="E3" s="75" t="inlineStr">
        <is>
          <t>High ($)</t>
        </is>
      </c>
      <c r="F3" s="75" t="inlineStr">
        <is>
          <t>Implied</t>
        </is>
      </c>
    </row>
    <row r="4" ht="15" customHeight="1" s="64">
      <c r="B4" s="63" t="inlineStr">
        <is>
          <t>EV / Net Revenue (2-4x)</t>
        </is>
      </c>
      <c r="C4" s="97">
        <f>'3. Target P&amp;L'!C6*'1. Assumptions'!C19</f>
        <v/>
      </c>
      <c r="D4" s="97">
        <f>'3. Target P&amp;L'!C6*('1. Assumptions'!C19+'1. Assumptions'!D19)/2</f>
        <v/>
      </c>
      <c r="E4" s="97">
        <f>'3. Target P&amp;L'!C6*'1. Assumptions'!D19</f>
        <v/>
      </c>
      <c r="F4" s="63" t="inlineStr">
        <is>
          <t>On Net Revenue $806K</t>
        </is>
      </c>
    </row>
    <row r="5" ht="15" customHeight="1" s="64">
      <c r="B5" s="63" t="inlineStr">
        <is>
          <t>EV / Gross Revenue (1.5-3x)</t>
        </is>
      </c>
      <c r="C5" s="97">
        <f>'3. Target P&amp;L'!C4*'1. Assumptions'!C20</f>
        <v/>
      </c>
      <c r="D5" s="97">
        <f>'3. Target P&amp;L'!C4*('1. Assumptions'!C20+'1. Assumptions'!D20)/2</f>
        <v/>
      </c>
      <c r="E5" s="97">
        <f>'3. Target P&amp;L'!C4*'1. Assumptions'!D20</f>
        <v/>
      </c>
      <c r="F5" s="63" t="inlineStr">
        <is>
          <t>On Gross Revenue $984K</t>
        </is>
      </c>
    </row>
    <row r="6" ht="15" customHeight="1" s="64">
      <c r="B6" s="63" t="inlineStr">
        <is>
          <t>EV / FCF (3-5x)</t>
        </is>
      </c>
      <c r="C6" s="97">
        <f>'3. Target P&amp;L'!C9*'1. Assumptions'!C21</f>
        <v/>
      </c>
      <c r="D6" s="97">
        <f>'3. Target P&amp;L'!C9*('1. Assumptions'!C21+'1. Assumptions'!D21)/2</f>
        <v/>
      </c>
      <c r="E6" s="97">
        <f>'3. Target P&amp;L'!C9*'1. Assumptions'!D21</f>
        <v/>
      </c>
      <c r="F6" s="63" t="inlineStr">
        <is>
          <t>On FCF $681K</t>
        </is>
      </c>
    </row>
    <row r="7" ht="15" customHeight="1" s="64">
      <c r="B7" s="63" t="inlineStr">
        <is>
          <t>DCF — Base (no Shopify 15%)</t>
        </is>
      </c>
      <c r="C7" s="97">
        <f>PV('1. Assumptions'!C26,'1. Assumptions'!C28,-'3. Target P&amp;L'!C9,0,0)+('3. Target P&amp;L'!C9/'1. Assumptions'!C26)/(1+'1. Assumptions'!C26)^'1. Assumptions'!C28</f>
        <v/>
      </c>
      <c r="D7" s="97">
        <f>C7</f>
        <v/>
      </c>
      <c r="E7" s="97">
        <f>C7*1.2</f>
        <v/>
      </c>
      <c r="F7" s="63" t="inlineStr">
        <is>
          <t>Flat FCF, g=0%, WACC=14%</t>
        </is>
      </c>
    </row>
    <row r="8" ht="15" customHeight="1" s="64">
      <c r="B8" s="63" t="inlineStr">
        <is>
          <t>DCF — Shopify 15% stress</t>
        </is>
      </c>
      <c r="C8" s="97">
        <f>PV('1. Assumptions'!C26,'1. Assumptions'!C28,-'3. Target P&amp;L'!D15,0,0)+('3. Target P&amp;L'!D15/'1. Assumptions'!C26)/(1+'1. Assumptions'!C26)^'1. Assumptions'!C28</f>
        <v/>
      </c>
      <c r="D8" s="97">
        <f>C8</f>
        <v/>
      </c>
      <c r="E8" s="97">
        <f>C8</f>
        <v/>
      </c>
      <c r="F8" s="63" t="inlineStr">
        <is>
          <t>FCF cut by Shopify 15% Y2+</t>
        </is>
      </c>
    </row>
    <row r="11" ht="15" customHeight="1" s="64">
      <c r="B11" s="75" t="inlineStr">
        <is>
          <t>SYNTHESIS</t>
        </is>
      </c>
      <c r="C11" s="101" t="n"/>
      <c r="D11" s="101" t="n"/>
      <c r="E11" s="101" t="n"/>
      <c r="F11" s="101" t="n"/>
    </row>
    <row r="12" ht="15" customHeight="1" s="64">
      <c r="B12" s="63" t="inlineStr">
        <is>
          <t>Floor (distressed / DCF stress)</t>
        </is>
      </c>
      <c r="C12" s="97">
        <f>MIN(C4:C8)</f>
        <v/>
      </c>
      <c r="D12" s="97">
        <f>AVERAGE(C4:C6)</f>
        <v/>
      </c>
    </row>
    <row r="13" ht="15" customHeight="1" s="64">
      <c r="B13" s="63" t="inlineStr">
        <is>
          <t>Fair value range</t>
        </is>
      </c>
      <c r="C13" s="97">
        <f>AVERAGE(C4:C6)</f>
        <v/>
      </c>
      <c r="D13" s="97">
        <f>AVERAGE(D4:D6)</f>
        <v/>
      </c>
      <c r="E13" s="97">
        <f>AVERAGE(E4:E6)</f>
        <v/>
      </c>
    </row>
    <row r="14" ht="15" customHeight="1" s="64">
      <c r="B14" s="63" t="inlineStr">
        <is>
          <t>Strategic premium / Bull</t>
        </is>
      </c>
      <c r="C14" s="97">
        <f>D13*1.15</f>
        <v/>
      </c>
      <c r="D14" s="97">
        <f>D13*1.25</f>
        <v/>
      </c>
      <c r="E14" s="97">
        <f>E13*1.3</f>
        <v/>
      </c>
    </row>
    <row r="16" ht="15" customHeight="1" s="64">
      <c r="B16" s="69" t="inlineStr">
        <is>
          <t>DEAL PRICE (per term sheet)</t>
        </is>
      </c>
      <c r="C16" s="71" t="n">
        <v>2000000</v>
      </c>
      <c r="D16" s="70" t="n">
        <v>2400000</v>
      </c>
      <c r="E16" s="71" t="n">
        <v>2400000</v>
      </c>
      <c r="F16" s="63" t="inlineStr">
        <is>
          <t>User-confirmed deal price</t>
        </is>
      </c>
    </row>
    <row r="17" ht="15" customHeight="1" s="64">
      <c r="B17" s="63" t="inlineStr">
        <is>
          <t>Implied multiple (Deal / FCF)</t>
        </is>
      </c>
      <c r="C17" s="110">
        <f>D16/'3. Target P&amp;L'!C9</f>
        <v/>
      </c>
      <c r="F17" s="63" t="inlineStr">
        <is>
          <t>Comp range: 3-5x → deal is fair-to-mid</t>
        </is>
      </c>
    </row>
    <row r="18" ht="15" customHeight="1" s="64">
      <c r="B18" s="63" t="inlineStr">
        <is>
          <t>Implied multiple (Deal / Net Rev)</t>
        </is>
      </c>
      <c r="C18" s="110">
        <f>D16/'3. Target P&amp;L'!C6</f>
        <v/>
      </c>
      <c r="F18" s="63" t="inlineStr">
        <is>
          <t>Comp range: 2-4x → deal is mid</t>
        </is>
      </c>
    </row>
    <row r="20" ht="15" customHeight="1" s="64">
      <c r="B20" s="114" t="inlineStr">
        <is>
          <t>VERDICT</t>
        </is>
      </c>
      <c r="C20" s="115" t="inlineStr">
        <is>
          <t>Deal price is REASONABLE — within fair value range</t>
        </is>
      </c>
    </row>
  </sheetData>
  <mergeCells count="2">
    <mergeCell ref="A1:F1"/>
    <mergeCell ref="C20:F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63" min="1" max="1"/>
    <col width="42" customWidth="1" style="63" min="2" max="2"/>
    <col width="16" customWidth="1" style="63" min="3" max="5"/>
    <col width="30" customWidth="1" style="63" min="6" max="6"/>
  </cols>
  <sheetData>
    <row r="1" ht="15" customHeight="1" s="64">
      <c r="A1" s="74" t="inlineStr">
        <is>
          <t>INVESTOR EQUITY — $500K Cash-In Scenarios</t>
        </is>
      </c>
    </row>
    <row r="2"/>
    <row r="3" ht="15" customHeight="1" s="64">
      <c r="B3" s="75" t="inlineStr">
        <is>
          <t>Scenario A — Investor invests in NewCo SPV (target only, with $2M debt)</t>
        </is>
      </c>
      <c r="C3" s="101" t="n"/>
      <c r="D3" s="101" t="n"/>
      <c r="E3" s="101" t="n"/>
      <c r="F3" s="101" t="n"/>
    </row>
    <row r="4" ht="15" customHeight="1" s="64">
      <c r="B4" s="63" t="inlineStr">
        <is>
          <t>Target Enterprise Value (fair, mid-comps)</t>
        </is>
      </c>
      <c r="C4" s="72">
        <f>'7. Valuation FF'!D13</f>
        <v/>
      </c>
    </row>
    <row r="5" ht="15" customHeight="1" s="64">
      <c r="B5" s="63" t="inlineStr">
        <is>
          <t>Less: New debt at closing</t>
        </is>
      </c>
      <c r="C5" s="72">
        <f>-'1. Assumptions'!C8</f>
        <v/>
      </c>
    </row>
    <row r="6" ht="15" customHeight="1" s="64">
      <c r="B6" s="63" t="inlineStr">
        <is>
          <t>NewCo equity value pre-money</t>
        </is>
      </c>
      <c r="C6" s="108">
        <f>C4+C5</f>
        <v/>
      </c>
    </row>
    <row r="7" ht="15" customHeight="1" s="64">
      <c r="B7" s="63" t="inlineStr">
        <is>
          <t>Investor cash-in</t>
        </is>
      </c>
      <c r="C7" s="71" t="n">
        <v>500000</v>
      </c>
    </row>
    <row r="8" ht="15" customHeight="1" s="64">
      <c r="B8" s="92" t="inlineStr">
        <is>
          <t>NewCo equity post-money</t>
        </is>
      </c>
      <c r="C8" s="104">
        <f>C6+C7</f>
        <v/>
      </c>
      <c r="D8" s="92" t="n"/>
      <c r="E8" s="92" t="n"/>
      <c r="F8" s="92" t="n"/>
    </row>
    <row r="9" ht="15" customHeight="1" s="64">
      <c r="B9" s="69" t="inlineStr">
        <is>
          <t>Investor stake (Scenario A)</t>
        </is>
      </c>
      <c r="C9" s="116">
        <f>C7/C8</f>
        <v/>
      </c>
      <c r="F9" s="63" t="inlineStr">
        <is>
          <t>Equity-value approach</t>
        </is>
      </c>
    </row>
    <row r="10"/>
    <row r="11"/>
    <row r="12" ht="15" customHeight="1" s="64">
      <c r="B12" s="75" t="inlineStr">
        <is>
          <t>Scenario B — Investor invests in Capitaliply Holding (consolidated)</t>
        </is>
      </c>
      <c r="C12" s="101" t="n"/>
      <c r="D12" s="101" t="n"/>
      <c r="E12" s="101" t="n"/>
      <c r="F12" s="101" t="n"/>
    </row>
    <row r="13" ht="15" customHeight="1" s="64">
      <c r="C13" s="81" t="inlineStr">
        <is>
          <t>4x EBITDA</t>
        </is>
      </c>
      <c r="D13" s="81" t="inlineStr">
        <is>
          <t>5x EBITDA</t>
        </is>
      </c>
      <c r="E13" s="81" t="inlineStr">
        <is>
          <t>6x EBITDA</t>
        </is>
      </c>
    </row>
    <row r="14" ht="15" customHeight="1" s="64">
      <c r="B14" s="63" t="inlineStr">
        <is>
          <t>Combined EBITDA (Capitaliply + Target)</t>
        </is>
      </c>
      <c r="C14" s="72">
        <f>'6. DSCR &amp; Leverage'!C6</f>
        <v/>
      </c>
      <c r="D14" s="97">
        <f>C14</f>
        <v/>
      </c>
      <c r="E14" s="97">
        <f>C14</f>
        <v/>
      </c>
    </row>
    <row r="15" ht="15" customHeight="1" s="64">
      <c r="B15" s="63" t="inlineStr">
        <is>
          <t>Enterprise Value (multiple x EBITDA)</t>
        </is>
      </c>
      <c r="C15" s="97">
        <f>C14*4</f>
        <v/>
      </c>
      <c r="D15" s="97">
        <f>D14*5</f>
        <v/>
      </c>
      <c r="E15" s="97">
        <f>E14*6</f>
        <v/>
      </c>
    </row>
    <row r="16" ht="15" customHeight="1" s="64">
      <c r="B16" s="63" t="inlineStr">
        <is>
          <t>Less: Total combined debt</t>
        </is>
      </c>
      <c r="C16" s="72">
        <f>-'4. Debt Stack'!E27</f>
        <v/>
      </c>
      <c r="D16" s="97">
        <f>C16</f>
        <v/>
      </c>
      <c r="E16" s="97">
        <f>C16</f>
        <v/>
      </c>
    </row>
    <row r="17" ht="15" customHeight="1" s="64">
      <c r="B17" s="63" t="inlineStr">
        <is>
          <t>Holding equity pre-money</t>
        </is>
      </c>
      <c r="C17" s="97">
        <f>C15+C16</f>
        <v/>
      </c>
      <c r="D17" s="97">
        <f>D15+D16</f>
        <v/>
      </c>
      <c r="E17" s="97">
        <f>E15+E16</f>
        <v/>
      </c>
    </row>
    <row r="18" ht="15" customHeight="1" s="64">
      <c r="B18" s="63" t="inlineStr">
        <is>
          <t>Plus: Investor cash-in</t>
        </is>
      </c>
      <c r="C18" s="71" t="n">
        <v>500000</v>
      </c>
      <c r="D18" s="71" t="n">
        <v>500000</v>
      </c>
      <c r="E18" s="71" t="n">
        <v>500000</v>
      </c>
    </row>
    <row r="19" ht="15" customHeight="1" s="64">
      <c r="B19" s="92" t="inlineStr">
        <is>
          <t>Holding equity post-money</t>
        </is>
      </c>
      <c r="C19" s="90">
        <f>C17+C18</f>
        <v/>
      </c>
      <c r="D19" s="90">
        <f>D17+D18</f>
        <v/>
      </c>
      <c r="E19" s="90">
        <f>E17+E18</f>
        <v/>
      </c>
      <c r="F19" s="92" t="n"/>
    </row>
    <row r="20" ht="15" customHeight="1" s="64">
      <c r="B20" s="69" t="inlineStr">
        <is>
          <t>Investor stake (Scenario B)</t>
        </is>
      </c>
      <c r="C20" s="116">
        <f>C18/C19</f>
        <v/>
      </c>
      <c r="D20" s="116">
        <f>D18/D19</f>
        <v/>
      </c>
      <c r="E20" s="116">
        <f>E18/E19</f>
        <v/>
      </c>
    </row>
    <row r="21"/>
    <row r="22"/>
    <row r="23" ht="15" customHeight="1" s="64">
      <c r="B23" s="112" t="inlineStr">
        <is>
          <t>RECOMMENDED DEAL TERMS</t>
        </is>
      </c>
      <c r="C23" s="113" t="n"/>
      <c r="D23" s="113" t="n"/>
      <c r="E23" s="113" t="n"/>
      <c r="F23" s="113" t="n"/>
    </row>
    <row r="24" ht="15" customHeight="1" s="64">
      <c r="B24" s="69" t="inlineStr">
        <is>
          <t>Structure</t>
        </is>
      </c>
      <c r="C24" s="63" t="inlineStr">
        <is>
          <t>Investor takes preferred equity in NewCo SPV (acquisition vehicle)</t>
        </is>
      </c>
    </row>
    <row r="25" ht="15" customHeight="1" s="64">
      <c r="B25" s="69" t="inlineStr">
        <is>
          <t>Equity stake range</t>
        </is>
      </c>
      <c r="C25" s="63" t="inlineStr">
        <is>
          <t>25-35% (Scenario A midpoint)</t>
        </is>
      </c>
    </row>
    <row r="26" ht="15" customHeight="1" s="64">
      <c r="B26" s="69" t="inlineStr">
        <is>
          <t>Liquidation preference</t>
        </is>
      </c>
      <c r="C26" s="63" t="inlineStr">
        <is>
          <t>1x non-participating, then convert</t>
        </is>
      </c>
    </row>
    <row r="27" ht="15" customHeight="1" s="64">
      <c r="B27" s="69" t="inlineStr">
        <is>
          <t>Anti-dilution</t>
        </is>
      </c>
      <c r="C27" s="63" t="inlineStr">
        <is>
          <t>Broad-based weighted average</t>
        </is>
      </c>
    </row>
    <row r="28" ht="15" customHeight="1" s="64">
      <c r="B28" s="69" t="inlineStr">
        <is>
          <t>Board / info rights</t>
        </is>
      </c>
      <c r="C28" s="63" t="inlineStr">
        <is>
          <t>1 board observer seat + monthly KPI pack</t>
        </is>
      </c>
    </row>
    <row r="29" ht="15" customHeight="1" s="64">
      <c r="B29" s="69" t="inlineStr">
        <is>
          <t>Drag/tag</t>
        </is>
      </c>
      <c r="C29" s="63" t="inlineStr">
        <is>
          <t>Standard drag at 75%, tag-along at any sale</t>
        </is>
      </c>
    </row>
    <row r="30" ht="15" customHeight="1" s="64">
      <c r="B30" s="69" t="inlineStr">
        <is>
          <t>Equity kicker risk</t>
        </is>
      </c>
      <c r="C30" s="63" t="inlineStr">
        <is>
          <t>Note: existing Yan + Kurilo holds 4.5% of UpCharge sale proceeds</t>
        </is>
      </c>
    </row>
    <row r="31" ht="15" customHeight="1" s="64">
      <c r="B31" s="69" t="inlineStr">
        <is>
          <t>Reserved matters</t>
        </is>
      </c>
      <c r="C31" s="63" t="inlineStr">
        <is>
          <t>Approval rights on: new debt &gt;$200K, M&amp;A, founder comp &gt;base</t>
        </is>
      </c>
    </row>
  </sheetData>
  <mergeCells count="9">
    <mergeCell ref="C31:F31"/>
    <mergeCell ref="A1:F1"/>
    <mergeCell ref="C26:F26"/>
    <mergeCell ref="C29:F29"/>
    <mergeCell ref="C30:F30"/>
    <mergeCell ref="C25:F25"/>
    <mergeCell ref="C27:F27"/>
    <mergeCell ref="C24:F24"/>
    <mergeCell ref="C28:F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63" min="1" max="1"/>
    <col width="6" customWidth="1" style="63" min="2" max="2"/>
    <col width="30" customWidth="1" style="63" min="3" max="3"/>
    <col width="40" customWidth="1" style="63" min="4" max="4"/>
    <col width="11" customWidth="1" style="63" min="5" max="7"/>
    <col width="40" customWidth="1" style="63" min="8" max="8"/>
  </cols>
  <sheetData>
    <row r="1" ht="15" customHeight="1" s="64">
      <c r="A1" s="74" t="inlineStr">
        <is>
          <t>RISK REGISTER — Creditor Perspective</t>
        </is>
      </c>
    </row>
    <row r="3" ht="15" customHeight="1" s="64">
      <c r="B3" s="83" t="inlineStr">
        <is>
          <t>#</t>
        </is>
      </c>
      <c r="C3" s="83" t="inlineStr">
        <is>
          <t>Risk</t>
        </is>
      </c>
      <c r="D3" s="83" t="inlineStr">
        <is>
          <t>Description / impact</t>
        </is>
      </c>
      <c r="E3" s="83" t="inlineStr">
        <is>
          <t>Severity</t>
        </is>
      </c>
      <c r="F3" s="83" t="inlineStr">
        <is>
          <t>Likelihood</t>
        </is>
      </c>
      <c r="G3" s="83" t="inlineStr">
        <is>
          <t>Score</t>
        </is>
      </c>
      <c r="H3" s="83" t="inlineStr">
        <is>
          <t>Mitigant required</t>
        </is>
      </c>
    </row>
    <row r="4" ht="42" customHeight="1" s="64">
      <c r="B4" s="117" t="n">
        <v>1</v>
      </c>
      <c r="C4" s="93" t="inlineStr">
        <is>
          <t>Shopify 15% revenue share enforcement</t>
        </is>
      </c>
      <c r="D4" s="118" t="inlineStr">
        <is>
          <t>Apps may be brought into 15% Shopify rev-share. Combined hit ~$339K/yr — breaks DSCR.</t>
        </is>
      </c>
      <c r="E4" s="117" t="n">
        <v>5</v>
      </c>
      <c r="F4" s="117" t="n">
        <v>4</v>
      </c>
      <c r="G4" s="119">
        <f>E4*F4</f>
        <v/>
      </c>
      <c r="H4" s="118" t="inlineStr">
        <is>
          <t>Pre-fund 6-month DS reserve; Shopify-fee covenant trip with cash sweep</t>
        </is>
      </c>
    </row>
    <row r="5" ht="42" customHeight="1" s="64">
      <c r="B5" s="117" t="n">
        <v>2</v>
      </c>
      <c r="C5" s="93" t="inlineStr">
        <is>
          <t>DSCR &lt; 1.25x in stress case</t>
        </is>
      </c>
      <c r="D5" s="118" t="inlineStr">
        <is>
          <t>Base DSCR ~1.0x; stress 0.6-0.8x. Insufficient cushion for typical lender covenant</t>
        </is>
      </c>
      <c r="E5" s="117" t="n">
        <v>5</v>
      </c>
      <c r="F5" s="117" t="n">
        <v>4</v>
      </c>
      <c r="G5" s="119">
        <f>E5*F5</f>
        <v/>
      </c>
      <c r="H5" s="118" t="inlineStr">
        <is>
          <t>Tenor stretch to 10yr, interest-only 2yr, mandatory cash sweep above $X EBITDA</t>
        </is>
      </c>
    </row>
    <row r="6" ht="42" customHeight="1" s="64">
      <c r="B6" s="117" t="n">
        <v>3</v>
      </c>
      <c r="C6" s="93" t="inlineStr">
        <is>
          <t>Organic portfolio in decline (-5.4% YoY)</t>
        </is>
      </c>
      <c r="D6" s="118" t="inlineStr">
        <is>
          <t>Every existing app down 2-8% — growth is purely from UpCharge acquisition</t>
        </is>
      </c>
      <c r="E6" s="117" t="n">
        <v>4</v>
      </c>
      <c r="F6" s="117" t="n">
        <v>5</v>
      </c>
      <c r="G6" s="119">
        <f>E6*F6</f>
        <v/>
      </c>
      <c r="H6" s="118" t="inlineStr">
        <is>
          <t>Operating covenants: minimum portfolio ARR floor; product-investment commitment</t>
        </is>
      </c>
    </row>
    <row r="7" ht="42" customHeight="1" s="64">
      <c r="B7" s="120" t="n">
        <v>4</v>
      </c>
      <c r="C7" s="99" t="inlineStr">
        <is>
          <t>Customer / app concentration</t>
        </is>
      </c>
      <c r="D7" s="121" t="inlineStr">
        <is>
          <t>MBC Bundle + UpChargeFees = 63% of revenue. Single app failure = 30%+ revenue loss</t>
        </is>
      </c>
      <c r="E7" s="120" t="n">
        <v>4</v>
      </c>
      <c r="F7" s="120" t="n">
        <v>3</v>
      </c>
      <c r="G7" s="122">
        <f>E7*F7</f>
        <v/>
      </c>
      <c r="H7" s="121" t="inlineStr">
        <is>
          <t>App-level KPI reporting; cross-collateralization across portfolio</t>
        </is>
      </c>
    </row>
    <row r="8" ht="42" customHeight="1" s="64">
      <c r="B8" s="117" t="n">
        <v>5</v>
      </c>
      <c r="C8" s="93" t="inlineStr">
        <is>
          <t>Existing debt stack is heavy + complex</t>
        </is>
      </c>
      <c r="D8" s="118" t="inlineStr">
        <is>
          <t>$1.13M existing debt + $2M new = $3.1M total / $1.1M EBITDA = 2.9x — top of SMB range. Many insider loans, informal docs</t>
        </is>
      </c>
      <c r="E8" s="117" t="n">
        <v>4</v>
      </c>
      <c r="F8" s="117" t="n">
        <v>4</v>
      </c>
      <c r="G8" s="119">
        <f>E8*F8</f>
        <v/>
      </c>
      <c r="H8" s="118" t="inlineStr">
        <is>
          <t>Mandatory debt cleanup pre-close; refinance/subordinate insider debt</t>
        </is>
      </c>
    </row>
    <row r="9" ht="42" customHeight="1" s="64">
      <c r="B9" s="120" t="n">
        <v>6</v>
      </c>
      <c r="C9" s="99" t="inlineStr">
        <is>
          <t>Informal / crypto-routed debt repayment</t>
        </is>
      </c>
      <c r="D9" s="121" t="inlineStr">
        <is>
          <t>Yuri Lavkov Cash (€33K) not formally documented, paid via crypto. AML/tax exposure</t>
        </is>
      </c>
      <c r="E9" s="120" t="n">
        <v>4</v>
      </c>
      <c r="F9" s="120" t="n">
        <v>3</v>
      </c>
      <c r="G9" s="122">
        <f>E9*F9</f>
        <v/>
      </c>
      <c r="H9" s="121" t="inlineStr">
        <is>
          <t>Require formal documentation pre-close; tax counsel opinion</t>
        </is>
      </c>
    </row>
    <row r="10" ht="42" customHeight="1" s="64">
      <c r="B10" s="102" t="n">
        <v>7</v>
      </c>
      <c r="C10" s="69" t="inlineStr">
        <is>
          <t>FX risk — EUR liabilities</t>
        </is>
      </c>
      <c r="D10" s="123" t="inlineStr">
        <is>
          <t>€155K EUR debt, USD revenue. EUR strength = larger USD service cost</t>
        </is>
      </c>
      <c r="E10" s="102" t="n">
        <v>2</v>
      </c>
      <c r="F10" s="102" t="n">
        <v>3</v>
      </c>
      <c r="G10" s="109">
        <f>E10*F10</f>
        <v/>
      </c>
      <c r="H10" s="123" t="inlineStr">
        <is>
          <t>FX hedge for &gt;12-month obligations OR convert to USD</t>
        </is>
      </c>
    </row>
    <row r="11" ht="42" customHeight="1" s="64">
      <c r="B11" s="120" t="n">
        <v>8</v>
      </c>
      <c r="C11" s="99" t="inlineStr">
        <is>
          <t>Earn-out drag ($29K/month thru 2026)</t>
        </is>
      </c>
      <c r="D11" s="121" t="inlineStr">
        <is>
          <t>MageWorx earn-out absorbs $338K/yr cash through Dec 2026, then drops</t>
        </is>
      </c>
      <c r="E11" s="120" t="n">
        <v>3</v>
      </c>
      <c r="F11" s="120" t="n">
        <v>5</v>
      </c>
      <c r="G11" s="122">
        <f>E11*F11</f>
        <v/>
      </c>
      <c r="H11" s="121" t="inlineStr">
        <is>
          <t>Reflected in DSCR; covenant calc should add back during step-down period</t>
        </is>
      </c>
    </row>
    <row r="12" ht="42" customHeight="1" s="64">
      <c r="B12" s="102" t="n">
        <v>9</v>
      </c>
      <c r="C12" s="69" t="inlineStr">
        <is>
          <t>Equity kicker dilution (4.5% of UpCharge)</t>
        </is>
      </c>
      <c r="D12" s="123" t="inlineStr">
        <is>
          <t>Stayetski 3% + Kurilo 1.5% of UpCharge sale proceeds — reduces creditor recovery in liquidation</t>
        </is>
      </c>
      <c r="E12" s="102" t="n">
        <v>2</v>
      </c>
      <c r="F12" s="102" t="n">
        <v>4</v>
      </c>
      <c r="G12" s="109">
        <f>E12*F12</f>
        <v/>
      </c>
      <c r="H12" s="123" t="inlineStr">
        <is>
          <t>Subordinate equity kickers to senior debt repayment</t>
        </is>
      </c>
    </row>
    <row r="13" ht="42" customHeight="1" s="64">
      <c r="B13" s="120" t="n">
        <v>10</v>
      </c>
      <c r="C13" s="99" t="inlineStr">
        <is>
          <t>Founder-dependence</t>
        </is>
      </c>
      <c r="D13" s="121" t="inlineStr">
        <is>
          <t>Small operator team; founders also act as creditors and shareholders. Key-person risk</t>
        </is>
      </c>
      <c r="E13" s="120" t="n">
        <v>3</v>
      </c>
      <c r="F13" s="120" t="n">
        <v>3</v>
      </c>
      <c r="G13" s="122">
        <f>E13*F13</f>
        <v/>
      </c>
      <c r="H13" s="121" t="inlineStr">
        <is>
          <t>Key-person life insurance; non-compete; phased payouts</t>
        </is>
      </c>
    </row>
    <row r="14" ht="42" customHeight="1" s="64">
      <c r="B14" s="120" t="n">
        <v>11</v>
      </c>
      <c r="C14" s="99" t="inlineStr">
        <is>
          <t>Target seller-reported numbers (no audit)</t>
        </is>
      </c>
      <c r="D14" s="121" t="inlineStr">
        <is>
          <t>Target P&amp;L is seller-prepared; QofE not done. Risk of revenue recognition / addback aggression</t>
        </is>
      </c>
      <c r="E14" s="120" t="n">
        <v>5</v>
      </c>
      <c r="F14" s="120" t="n">
        <v>3</v>
      </c>
      <c r="G14" s="122">
        <f>E14*F14</f>
        <v/>
      </c>
      <c r="H14" s="121" t="inlineStr">
        <is>
          <t>QofE (3rd-party Quality of Earnings) MANDATORY pre-close; PPA included in deal docs</t>
        </is>
      </c>
    </row>
    <row r="15" ht="42" customHeight="1" s="64">
      <c r="B15" s="120" t="n">
        <v>12</v>
      </c>
      <c r="C15" s="99" t="inlineStr">
        <is>
          <t>Holding guarantee value limited</t>
        </is>
      </c>
      <c r="D15" s="121" t="inlineStr">
        <is>
          <t>Capitaliply EBITDA only $407K standalone; cannot rescue NewCo if target underperforms</t>
        </is>
      </c>
      <c r="E15" s="120" t="n">
        <v>4</v>
      </c>
      <c r="F15" s="120" t="n">
        <v>3</v>
      </c>
      <c r="G15" s="122">
        <f>E15*F15</f>
        <v/>
      </c>
      <c r="H15" s="121" t="inlineStr">
        <is>
          <t>Cross-default; cash sweep at holding; restrict distributions to shareholders</t>
        </is>
      </c>
    </row>
    <row r="16" ht="42" customHeight="1" s="64">
      <c r="B16" s="117" t="n">
        <v>13</v>
      </c>
      <c r="C16" s="93" t="inlineStr">
        <is>
          <t>Refinance/maturity wall 2026-2027</t>
        </is>
      </c>
      <c r="D16" s="118" t="inlineStr">
        <is>
          <t>MageWorx 15% + Lychkouski $200K due Dec 2026; Yuri Lavkov by May 2027 — same window as new debt early years</t>
        </is>
      </c>
      <c r="E16" s="117" t="n">
        <v>4</v>
      </c>
      <c r="F16" s="117" t="n">
        <v>4</v>
      </c>
      <c r="G16" s="119">
        <f>E16*F16</f>
        <v/>
      </c>
      <c r="H16" s="118" t="inlineStr">
        <is>
          <t>Extend or refinance pre-close; lock in standstill agreements</t>
        </is>
      </c>
    </row>
    <row r="17" ht="42" customHeight="1" s="64">
      <c r="B17" s="120" t="n">
        <v>14</v>
      </c>
      <c r="C17" s="99" t="inlineStr">
        <is>
          <t>Shopify platform dependency</t>
        </is>
      </c>
      <c r="D17" s="121" t="inlineStr">
        <is>
          <t>100% of revenue depends on Shopify platform health, policy, ToS</t>
        </is>
      </c>
      <c r="E17" s="120" t="n">
        <v>5</v>
      </c>
      <c r="F17" s="120" t="n">
        <v>2</v>
      </c>
      <c r="G17" s="122">
        <f>E17*F17</f>
        <v/>
      </c>
      <c r="H17" s="121" t="inlineStr">
        <is>
          <t>Long-term lender — diversification covenant; alternative-channel plan</t>
        </is>
      </c>
    </row>
    <row r="18" ht="42" customHeight="1" s="64">
      <c r="B18" s="120" t="n">
        <v>15</v>
      </c>
      <c r="C18" s="99" t="inlineStr">
        <is>
          <t>Russia/CIS founder geography</t>
        </is>
      </c>
      <c r="D18" s="121" t="inlineStr">
        <is>
          <t>If founders are Russia/Belarus-resident → sanctions, banking, payment risk</t>
        </is>
      </c>
      <c r="E18" s="120" t="n">
        <v>4</v>
      </c>
      <c r="F18" s="120" t="n">
        <v>3</v>
      </c>
      <c r="G18" s="122">
        <f>E18*F18</f>
        <v/>
      </c>
      <c r="H18" s="121" t="inlineStr">
        <is>
          <t>KYC, sanctions screening, structure via clean jurisdiction (Cyprus/NL)</t>
        </is>
      </c>
    </row>
    <row r="20" ht="15" customHeight="1" s="64">
      <c r="B20" s="124" t="inlineStr">
        <is>
          <t>Severity: 1=trivial, 5=critical | Likelihood: 1=remote, 5=near-certain | Score = Sev × Lik (≥16 = RED, 9-15 = YELLOW)</t>
        </is>
      </c>
    </row>
  </sheetData>
  <mergeCells count="2">
    <mergeCell ref="B20:H2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2026-05-31T13:41:11Z</dcterms:created>
  <dcterms:modified xmlns:dcterms="http://purl.org/dc/terms/" xmlns:xsi="http://www.w3.org/2001/XMLSchema-instance" xsi:type="dcterms:W3CDTF">2026-05-31T13:41:37Z</dcterms:modified>
  <cp:revision>0</cp:revision>
</cp:coreProperties>
</file>