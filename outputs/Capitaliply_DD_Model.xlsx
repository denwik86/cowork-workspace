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1. Assumptions" sheetId="2" state="visible" r:id="rId4"/>
    <sheet name="2. Capitaliply P&amp;L" sheetId="3" state="visible" r:id="rId5"/>
    <sheet name="3. Target P&amp;L" sheetId="4" state="visible" r:id="rId6"/>
    <sheet name="4. Debt Stack" sheetId="5" state="visible" r:id="rId7"/>
    <sheet name="5. Sources &amp; Uses" sheetId="6" state="visible" r:id="rId8"/>
    <sheet name="6. DSCR &amp; Leverage" sheetId="7" state="visible" r:id="rId9"/>
    <sheet name="7. Valuation FF" sheetId="8" state="visible" r:id="rId10"/>
    <sheet name="8. Cap Table" sheetId="9" state="visible" r:id="rId11"/>
    <sheet name="9. Risks Matrix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<sst xmlns="http://schemas.openxmlformats.org/spreadsheetml/2006/main" count="367" uniqueCount="348">
  <si>
    <t xml:space="preserve">CAPITALIPLY GROUP — DUE DILIGENCE MODEL</t>
  </si>
  <si>
    <t xml:space="preserve">Acquisition + Lender Risk + Investor Equity Analysis</t>
  </si>
  <si>
    <t xml:space="preserve">Prepared: 31 May 2026</t>
  </si>
  <si>
    <t xml:space="preserve">WORKBOOK TABS</t>
  </si>
  <si>
    <t xml:space="preserve">1. Assumptions</t>
  </si>
  <si>
    <t xml:space="preserve">Master assumption set — FX, rates, multiples, scenarios</t>
  </si>
  <si>
    <t xml:space="preserve">2. Capitaliply P&amp;L</t>
  </si>
  <si>
    <t xml:space="preserve">2025 Actual vs Q1 2026 annualized + per-app revenue trend</t>
  </si>
  <si>
    <t xml:space="preserve">3. Target P&amp;L</t>
  </si>
  <si>
    <t xml:space="preserve">Target company financials, Shopify fee scenario</t>
  </si>
  <si>
    <t xml:space="preserve">4. Debt Stack</t>
  </si>
  <si>
    <t xml:space="preserve">All existing + new debt; monthly schedule; covenants</t>
  </si>
  <si>
    <t xml:space="preserve">5. Sources &amp; Uses</t>
  </si>
  <si>
    <t xml:space="preserve">$2.4M deal funding plan + investor cash-in</t>
  </si>
  <si>
    <t xml:space="preserve">6. DSCR &amp; Leverage</t>
  </si>
  <si>
    <t xml:space="preserve">Debt service coverage Base/Stress; leverage ratios</t>
  </si>
  <si>
    <t xml:space="preserve">7. Valuation FF</t>
  </si>
  <si>
    <t xml:space="preserve">Target valuation football field (comps + DCF)</t>
  </si>
  <si>
    <t xml:space="preserve">8. Cap Table</t>
  </si>
  <si>
    <t xml:space="preserve">Investor equity scenarios for $500K cash-in</t>
  </si>
  <si>
    <t xml:space="preserve">9. Risks Matrix</t>
  </si>
  <si>
    <t xml:space="preserve">Risk register for creditor — severity × likelihood</t>
  </si>
  <si>
    <t xml:space="preserve">HEADLINE METRICS</t>
  </si>
  <si>
    <t xml:space="preserve">Deal price (target acquisition)</t>
  </si>
  <si>
    <t xml:space="preserve">  of which: new debt</t>
  </si>
  <si>
    <t xml:space="preserve">  of which: equity investor cash-in</t>
  </si>
  <si>
    <t xml:space="preserve">Investor total cash-in (incl. WC)</t>
  </si>
  <si>
    <t xml:space="preserve">Combined EBITDA (Capitaliply + Target FCF)</t>
  </si>
  <si>
    <t xml:space="preserve">Total debt post-deal</t>
  </si>
  <si>
    <t xml:space="preserve">Debt / EBITDA</t>
  </si>
  <si>
    <t xml:space="preserve">MASTER ASSUMPTIONS — change BLUE cells to flex scenarios</t>
  </si>
  <si>
    <t xml:space="preserve">FX RATES</t>
  </si>
  <si>
    <t xml:space="preserve">EUR/USD</t>
  </si>
  <si>
    <t xml:space="preserve">Source: ECB indicative May 2026</t>
  </si>
  <si>
    <t xml:space="preserve">DEAL STRUCTURE</t>
  </si>
  <si>
    <t xml:space="preserve">Target purchase price</t>
  </si>
  <si>
    <t xml:space="preserve">Per user — $2.4M total</t>
  </si>
  <si>
    <t xml:space="preserve">New debt raised</t>
  </si>
  <si>
    <t xml:space="preserve">12% rate, NewCo borrower, Capitaliply guarantor</t>
  </si>
  <si>
    <t xml:space="preserve">Equity from investor (cash-in)</t>
  </si>
  <si>
    <t xml:space="preserve">$400K to gap + $100K WC</t>
  </si>
  <si>
    <t xml:space="preserve">Deal gap (acquisition)</t>
  </si>
  <si>
    <t xml:space="preserve">Auto-calc: purchase - debt</t>
  </si>
  <si>
    <t xml:space="preserve">DEBT TERMS — NEW DEBT</t>
  </si>
  <si>
    <t xml:space="preserve">Interest rate</t>
  </si>
  <si>
    <t xml:space="preserve">Per user — 12% senior secured</t>
  </si>
  <si>
    <t xml:space="preserve">Tenor (years)</t>
  </si>
  <si>
    <t xml:space="preserve">Sensitize 5/7/10 years</t>
  </si>
  <si>
    <t xml:space="preserve">Amort type</t>
  </si>
  <si>
    <t xml:space="preserve">Interest-only first 2y then amort</t>
  </si>
  <si>
    <t xml:space="preserve">Scenario flag</t>
  </si>
  <si>
    <t xml:space="preserve">VALUATION MULTIPLES (Shopify SaaS apps, sub-$1M ARR)</t>
  </si>
  <si>
    <t xml:space="preserve">Method</t>
  </si>
  <si>
    <t xml:space="preserve">Low</t>
  </si>
  <si>
    <t xml:space="preserve">High</t>
  </si>
  <si>
    <t xml:space="preserve">Source / commentary</t>
  </si>
  <si>
    <t xml:space="preserve">EV / Net Revenue</t>
  </si>
  <si>
    <t xml:space="preserve">Acquire.com Shopify deals 2024-2025 (sub-$1M ARR)</t>
  </si>
  <si>
    <t xml:space="preserve">EV / Gross Revenue</t>
  </si>
  <si>
    <t xml:space="preserve">FE International Shopify app comps</t>
  </si>
  <si>
    <t xml:space="preserve">EV / FCF (~EBITDA)</t>
  </si>
  <si>
    <t xml:space="preserve">TinySeed / Microacquire data</t>
  </si>
  <si>
    <t xml:space="preserve">EV / EBITDA (consol)</t>
  </si>
  <si>
    <t xml:space="preserve">Roll-up Shopify portfolios trade 4-6x</t>
  </si>
  <si>
    <t xml:space="preserve">DCF ASSUMPTIONS</t>
  </si>
  <si>
    <t xml:space="preserve">WACC</t>
  </si>
  <si>
    <t xml:space="preserve">Small Shopify SaaS, β=1.3, Rf=4.5%, ERP=5.5%, +size premium</t>
  </si>
  <si>
    <t xml:space="preserve">Terminal growth</t>
  </si>
  <si>
    <t xml:space="preserve">Conservative — portfolio organic is declining</t>
  </si>
  <si>
    <t xml:space="preserve">Explicit period (yrs)</t>
  </si>
  <si>
    <t xml:space="preserve">Shopify 15% fee — Base scenario</t>
  </si>
  <si>
    <t xml:space="preserve">0 = not enforced; 1 = enforced from Y2</t>
  </si>
  <si>
    <t xml:space="preserve">Shopify 15% fee — Stress scenario</t>
  </si>
  <si>
    <t xml:space="preserve">Risk case: Shopify enforces</t>
  </si>
  <si>
    <t xml:space="preserve">OPERATING ASSUMPTIONS</t>
  </si>
  <si>
    <t xml:space="preserve">Existing portfolio organic growth</t>
  </si>
  <si>
    <t xml:space="preserve">Per app trend YoY (declining 2-8%)</t>
  </si>
  <si>
    <t xml:space="preserve">Target organic growth</t>
  </si>
  <si>
    <t xml:space="preserve">Conservative — assume flat</t>
  </si>
  <si>
    <t xml:space="preserve">Shopify revenue share (target &amp; portfolio)</t>
  </si>
  <si>
    <t xml:space="preserve">If Shopify enforces 15% on these apps</t>
  </si>
  <si>
    <t xml:space="preserve">CAPITALIPLY GROUP — CONSOLIDATED P&amp;L</t>
  </si>
  <si>
    <t xml:space="preserve">FY 2025</t>
  </si>
  <si>
    <t xml:space="preserve">Q1 2026</t>
  </si>
  <si>
    <t xml:space="preserve">2026E (annualized)</t>
  </si>
  <si>
    <t xml:space="preserve">YoY</t>
  </si>
  <si>
    <t xml:space="preserve">Revenue</t>
  </si>
  <si>
    <t xml:space="preserve">Cost of Revenue</t>
  </si>
  <si>
    <t xml:space="preserve">Operating Income</t>
  </si>
  <si>
    <t xml:space="preserve">General Business Expenses</t>
  </si>
  <si>
    <t xml:space="preserve">Income Before Tax</t>
  </si>
  <si>
    <t xml:space="preserve">Amortization (add-back)</t>
  </si>
  <si>
    <t xml:space="preserve">Interest paid (add-back)</t>
  </si>
  <si>
    <t xml:space="preserve">EBITDA</t>
  </si>
  <si>
    <t xml:space="preserve">MARGIN ANALYSIS</t>
  </si>
  <si>
    <t xml:space="preserve">Gross margin</t>
  </si>
  <si>
    <t xml:space="preserve">EBITDA margin</t>
  </si>
  <si>
    <t xml:space="preserve">PER-APP REVENUE (annualized)</t>
  </si>
  <si>
    <t xml:space="preserve">App</t>
  </si>
  <si>
    <t xml:space="preserve">2025 ARR</t>
  </si>
  <si>
    <t xml:space="preserve">2026 ARR</t>
  </si>
  <si>
    <t xml:space="preserve">Note</t>
  </si>
  <si>
    <t xml:space="preserve">MBC Bundle</t>
  </si>
  <si>
    <t xml:space="preserve">Largest app, -7%</t>
  </si>
  <si>
    <t xml:space="preserve">Cartly</t>
  </si>
  <si>
    <t xml:space="preserve">Stable -2%</t>
  </si>
  <si>
    <t xml:space="preserve">SLOT</t>
  </si>
  <si>
    <t xml:space="preserve">Small, declining</t>
  </si>
  <si>
    <t xml:space="preserve">RecurrinGo</t>
  </si>
  <si>
    <t xml:space="preserve">-8% YoY</t>
  </si>
  <si>
    <t xml:space="preserve">Split Payments</t>
  </si>
  <si>
    <t xml:space="preserve">Flat</t>
  </si>
  <si>
    <t xml:space="preserve">UpChargeFees</t>
  </si>
  <si>
    <t xml:space="preserve">Acquired late 2025 — growth driver</t>
  </si>
  <si>
    <t xml:space="preserve">TOTAL portfolio (ARR)</t>
  </si>
  <si>
    <t xml:space="preserve">ORGANIC (ex-UpChargeFees)</t>
  </si>
  <si>
    <t xml:space="preserve">⚠ ORGANIC PORTFOLIO IS DECLINING</t>
  </si>
  <si>
    <t xml:space="preserve">TARGET COMPANY — P&amp;L (LTM as presented by seller)</t>
  </si>
  <si>
    <t xml:space="preserve">LTM ($)</t>
  </si>
  <si>
    <t xml:space="preserve">% of Gross</t>
  </si>
  <si>
    <t xml:space="preserve">Comment</t>
  </si>
  <si>
    <t xml:space="preserve">Gross Revenue</t>
  </si>
  <si>
    <t xml:space="preserve">Seller-reported</t>
  </si>
  <si>
    <t xml:space="preserve">Less: Shopify processing + payment fees</t>
  </si>
  <si>
    <t xml:space="preserve">≈18% — payment processing only (NO 15% rev share)</t>
  </si>
  <si>
    <t xml:space="preserve">Net Revenue (after fees)</t>
  </si>
  <si>
    <t xml:space="preserve">Operating costs (implied)</t>
  </si>
  <si>
    <t xml:space="preserve">Plug — only $126K of opex</t>
  </si>
  <si>
    <t xml:space="preserve">Free Cash Flow (FCF)</t>
  </si>
  <si>
    <t xml:space="preserve">SHOPIFY 15% FEE SCENARIO ANALYSIS</t>
  </si>
  <si>
    <t xml:space="preserve">Scenario</t>
  </si>
  <si>
    <t xml:space="preserve">Annual hit</t>
  </si>
  <si>
    <t xml:space="preserve">FCF post-hit</t>
  </si>
  <si>
    <t xml:space="preserve">Base — NOT enforced (current)</t>
  </si>
  <si>
    <t xml:space="preserve">Status quo — what user described</t>
  </si>
  <si>
    <t xml:space="preserve">Stress — 15% on Gross applied</t>
  </si>
  <si>
    <t xml:space="preserve">Shopify already does this for apps &gt;$1M ARR</t>
  </si>
  <si>
    <t xml:space="preserve">Mid — 15% phased in over 2 yr</t>
  </si>
  <si>
    <t xml:space="preserve">TARGET KEY RATIOS</t>
  </si>
  <si>
    <t xml:space="preserve">FCF margin (of Gross)</t>
  </si>
  <si>
    <t xml:space="preserve">FCF margin (of Net)</t>
  </si>
  <si>
    <t xml:space="preserve">Take rate (fees % of Gross)</t>
  </si>
  <si>
    <t xml:space="preserve">DEBT STACK — Existing + New</t>
  </si>
  <si>
    <t xml:space="preserve">Name</t>
  </si>
  <si>
    <t xml:space="preserve">Cur</t>
  </si>
  <si>
    <t xml:space="preserve">Principal</t>
  </si>
  <si>
    <t xml:space="preserve">USD-equiv</t>
  </si>
  <si>
    <t xml:space="preserve">Rate</t>
  </si>
  <si>
    <t xml:space="preserve">Annual int.</t>
  </si>
  <si>
    <t xml:space="preserve">CPTN DEBTS</t>
  </si>
  <si>
    <t xml:space="preserve">Andrey Lychkouski</t>
  </si>
  <si>
    <t xml:space="preserve">USD</t>
  </si>
  <si>
    <t xml:space="preserve">Due 25.12.2026 — penalty risk if no rollover</t>
  </si>
  <si>
    <t xml:space="preserve">AG-Operations</t>
  </si>
  <si>
    <t xml:space="preserve">Closing next month</t>
  </si>
  <si>
    <t xml:space="preserve">Yuri Lavkov (Cash)</t>
  </si>
  <si>
    <t xml:space="preserve">EUR</t>
  </si>
  <si>
    <t xml:space="preserve">INFORMAL — crypto repayment — legal risk</t>
  </si>
  <si>
    <t xml:space="preserve">Yuri Lavkov (CPTN)</t>
  </si>
  <si>
    <t xml:space="preserve">Full repay by May 2027</t>
  </si>
  <si>
    <t xml:space="preserve">Vladimir Trofimenko</t>
  </si>
  <si>
    <t xml:space="preserve">Equal monthly installments</t>
  </si>
  <si>
    <t xml:space="preserve">CAPITALIPLY DEBTS</t>
  </si>
  <si>
    <t xml:space="preserve">Dmitri Filimonov</t>
  </si>
  <si>
    <t xml:space="preserve">Due June 2028 — largest single piece</t>
  </si>
  <si>
    <t xml:space="preserve">Tomashevich (Split)</t>
  </si>
  <si>
    <t xml:space="preserve">Repaid w/ equity buyout</t>
  </si>
  <si>
    <t xml:space="preserve">Yan Stayetski</t>
  </si>
  <si>
    <t xml:space="preserve">Due Oct 2028 + 3% equity kicker (UpCharge sale)</t>
  </si>
  <si>
    <t xml:space="preserve">Dmitri Kurilo</t>
  </si>
  <si>
    <t xml:space="preserve">Due Oct 2028 + 1.5% equity kicker</t>
  </si>
  <si>
    <t xml:space="preserve">MageWorx (15%)</t>
  </si>
  <si>
    <t xml:space="preserve">Due 25.12.2026 — penalty risk</t>
  </si>
  <si>
    <t xml:space="preserve">MageWorx Install.</t>
  </si>
  <si>
    <t xml:space="preserve">Zero-rate, paid in installments</t>
  </si>
  <si>
    <t xml:space="preserve">EpsiFund</t>
  </si>
  <si>
    <t xml:space="preserve">Takes 19.5% of UpCharge revenue every 2 weeks</t>
  </si>
  <si>
    <t xml:space="preserve">AG MBC Bundles</t>
  </si>
  <si>
    <t xml:space="preserve">Repay when possible</t>
  </si>
  <si>
    <t xml:space="preserve">SpurIT (Cronics)</t>
  </si>
  <si>
    <t xml:space="preserve">TOTAL EXISTING DEBT</t>
  </si>
  <si>
    <t xml:space="preserve">MageWorx Earn-Out (cash drain May-Dec 2026)</t>
  </si>
  <si>
    <t xml:space="preserve">Off-balance — contractual obligation</t>
  </si>
  <si>
    <t xml:space="preserve">NEW DEBT (TARGET ACQUISITION)</t>
  </si>
  <si>
    <t xml:space="preserve">Senior secured debt</t>
  </si>
  <si>
    <t xml:space="preserve">12% / 7yr (per assumptions). NewCo borrower, holding guarantor</t>
  </si>
  <si>
    <t xml:space="preserve">TOTAL DEBT POST-DEAL</t>
  </si>
  <si>
    <t xml:space="preserve">SOURCES &amp; USES — $2.4M Acquisition</t>
  </si>
  <si>
    <t xml:space="preserve">SOURCES</t>
  </si>
  <si>
    <t xml:space="preserve">New debt (senior secured, 12%, 7yr)</t>
  </si>
  <si>
    <t xml:space="preserve">Equity — investor cash-in</t>
  </si>
  <si>
    <t xml:space="preserve">of $500K investor cash; $100K stays for WC</t>
  </si>
  <si>
    <t xml:space="preserve">Founder rollover / sponsor</t>
  </si>
  <si>
    <t xml:space="preserve">Assumed 0 — confirm with sponsor</t>
  </si>
  <si>
    <t xml:space="preserve">TOTAL SOURCES</t>
  </si>
  <si>
    <t xml:space="preserve">USES</t>
  </si>
  <si>
    <t xml:space="preserve">Purchase price (target)</t>
  </si>
  <si>
    <t xml:space="preserve">Deal fees (legal, advisory, ~3%)</t>
  </si>
  <si>
    <t xml:space="preserve">Working capital reserve</t>
  </si>
  <si>
    <t xml:space="preserve">Plug / cash to balance sheet</t>
  </si>
  <si>
    <t xml:space="preserve">If negative, sources do not cover uses</t>
  </si>
  <si>
    <t xml:space="preserve">TOTAL USES</t>
  </si>
  <si>
    <t xml:space="preserve">BALANCE CHECK</t>
  </si>
  <si>
    <t xml:space="preserve">Must be zero or positive</t>
  </si>
  <si>
    <t xml:space="preserve">DSCR &amp; LEVERAGE ANALYSIS — Lender View</t>
  </si>
  <si>
    <t xml:space="preserve">Base</t>
  </si>
  <si>
    <t xml:space="preserve">Stress (Shopify 15%)</t>
  </si>
  <si>
    <t xml:space="preserve">Severe (15% + organic -10%)</t>
  </si>
  <si>
    <t xml:space="preserve">EBITDA — Capitaliply (existing)</t>
  </si>
  <si>
    <t xml:space="preserve">FCF — Target</t>
  </si>
  <si>
    <t xml:space="preserve">Combined cash EBITDA</t>
  </si>
  <si>
    <t xml:space="preserve">ANNUAL DEBT SERVICE</t>
  </si>
  <si>
    <t xml:space="preserve">Existing debt — annual P+I (per monthly schedule x 11.5)</t>
  </si>
  <si>
    <t xml:space="preserve">Includes earn-out, principal amort</t>
  </si>
  <si>
    <t xml:space="preserve">New debt — annual P+I</t>
  </si>
  <si>
    <t xml:space="preserve">Auto-calc from assumptions (rate, tenor)</t>
  </si>
  <si>
    <t xml:space="preserve">TOTAL DEBT SERVICE</t>
  </si>
  <si>
    <t xml:space="preserve">DEBT SERVICE COVERAGE RATIO (DSCR)</t>
  </si>
  <si>
    <t xml:space="preserve">DSCR (EBITDA / Debt Service)</t>
  </si>
  <si>
    <t xml:space="preserve">Standard covenant: ≥1.25x</t>
  </si>
  <si>
    <t xml:space="preserve">DSCR Covenant pass? (≥1.25x)</t>
  </si>
  <si>
    <t xml:space="preserve">LEVERAGE RATIOS</t>
  </si>
  <si>
    <t xml:space="preserve">Total Debt</t>
  </si>
  <si>
    <t xml:space="preserve">Typical SMB ceiling: 3.5-4.0x</t>
  </si>
  <si>
    <t xml:space="preserve">Interest Coverage (EBITDA / Interest)</t>
  </si>
  <si>
    <t xml:space="preserve">Typical: ≥3x</t>
  </si>
  <si>
    <t xml:space="preserve">LENDER VERDICT</t>
  </si>
  <si>
    <t xml:space="preserve">Base scenario:</t>
  </si>
  <si>
    <t xml:space="preserve">Stress (Shopify 15%):</t>
  </si>
  <si>
    <t xml:space="preserve">Severe (Shopify + portfolio decline):</t>
  </si>
  <si>
    <t xml:space="preserve">TARGET VALUATION — Football Field</t>
  </si>
  <si>
    <t xml:space="preserve">Low ($)</t>
  </si>
  <si>
    <t xml:space="preserve">Mid ($)</t>
  </si>
  <si>
    <t xml:space="preserve">High ($)</t>
  </si>
  <si>
    <t xml:space="preserve">Implied</t>
  </si>
  <si>
    <t xml:space="preserve">EV / Net Revenue (2-4x)</t>
  </si>
  <si>
    <t xml:space="preserve">On Net Revenue $806K</t>
  </si>
  <si>
    <t xml:space="preserve">EV / Gross Revenue (1.5-3x)</t>
  </si>
  <si>
    <t xml:space="preserve">On Gross Revenue $984K</t>
  </si>
  <si>
    <t xml:space="preserve">EV / FCF (3-5x)</t>
  </si>
  <si>
    <t xml:space="preserve">On FCF $681K</t>
  </si>
  <si>
    <t xml:space="preserve">DCF — Base (no Shopify 15%)</t>
  </si>
  <si>
    <t xml:space="preserve">Flat FCF, g=0%, WACC=14%</t>
  </si>
  <si>
    <t xml:space="preserve">DCF — Shopify 15% stress</t>
  </si>
  <si>
    <t xml:space="preserve">FCF cut by Shopify 15% Y2+</t>
  </si>
  <si>
    <t xml:space="preserve">SYNTHESIS</t>
  </si>
  <si>
    <t xml:space="preserve">Floor (distressed / DCF stress)</t>
  </si>
  <si>
    <t xml:space="preserve">Fair value range</t>
  </si>
  <si>
    <t xml:space="preserve">Strategic premium / Bull</t>
  </si>
  <si>
    <t xml:space="preserve">DEAL PRICE (per term sheet)</t>
  </si>
  <si>
    <t xml:space="preserve">User-confirmed deal price</t>
  </si>
  <si>
    <t xml:space="preserve">Implied multiple (Deal / FCF)</t>
  </si>
  <si>
    <t xml:space="preserve">Comp range: 3-5x → deal is fair-to-mid</t>
  </si>
  <si>
    <t xml:space="preserve">Implied multiple (Deal / Net Rev)</t>
  </si>
  <si>
    <t xml:space="preserve">Comp range: 2-4x → deal is mid</t>
  </si>
  <si>
    <t xml:space="preserve">VERDICT</t>
  </si>
  <si>
    <t xml:space="preserve">Deal price is REASONABLE — within fair value range</t>
  </si>
  <si>
    <t xml:space="preserve">INVESTOR EQUITY — $500K Cash-In Scenarios</t>
  </si>
  <si>
    <t xml:space="preserve">Scenario A — Investor invests in NewCo SPV (target only, with $2M debt)</t>
  </si>
  <si>
    <t xml:space="preserve">Target Enterprise Value (fair, mid-comps)</t>
  </si>
  <si>
    <t xml:space="preserve">Less: New debt at closing</t>
  </si>
  <si>
    <t xml:space="preserve">NewCo equity value pre-money</t>
  </si>
  <si>
    <t xml:space="preserve">Investor cash-in</t>
  </si>
  <si>
    <t xml:space="preserve">NewCo equity post-money</t>
  </si>
  <si>
    <t xml:space="preserve">Investor stake (Scenario A)</t>
  </si>
  <si>
    <t xml:space="preserve">Equity-value approach</t>
  </si>
  <si>
    <t xml:space="preserve">Scenario B — Investor invests in Capitaliply Holding (consolidated)</t>
  </si>
  <si>
    <t xml:space="preserve">4x EBITDA</t>
  </si>
  <si>
    <t xml:space="preserve">5x EBITDA</t>
  </si>
  <si>
    <t xml:space="preserve">6x EBITDA</t>
  </si>
  <si>
    <t xml:space="preserve">Combined EBITDA (Capitaliply + Target)</t>
  </si>
  <si>
    <t xml:space="preserve">Enterprise Value (multiple x EBITDA)</t>
  </si>
  <si>
    <t xml:space="preserve">Less: Total combined debt</t>
  </si>
  <si>
    <t xml:space="preserve">Holding equity pre-money</t>
  </si>
  <si>
    <t xml:space="preserve">Plus: Investor cash-in</t>
  </si>
  <si>
    <t xml:space="preserve">Holding equity post-money</t>
  </si>
  <si>
    <t xml:space="preserve">Investor stake (Scenario B)</t>
  </si>
  <si>
    <t xml:space="preserve">RECOMMENDED DEAL TERMS</t>
  </si>
  <si>
    <t xml:space="preserve">Structure</t>
  </si>
  <si>
    <t xml:space="preserve">Investor takes preferred equity in NewCo SPV (acquisition vehicle)</t>
  </si>
  <si>
    <t xml:space="preserve">Equity stake range</t>
  </si>
  <si>
    <t xml:space="preserve">25-35% (Scenario A midpoint)</t>
  </si>
  <si>
    <t xml:space="preserve">Liquidation preference</t>
  </si>
  <si>
    <t xml:space="preserve">1x non-participating, then convert</t>
  </si>
  <si>
    <t xml:space="preserve">Anti-dilution</t>
  </si>
  <si>
    <t xml:space="preserve">Broad-based weighted average</t>
  </si>
  <si>
    <t xml:space="preserve">Board / info rights</t>
  </si>
  <si>
    <t xml:space="preserve">1 board observer seat + monthly KPI pack</t>
  </si>
  <si>
    <t xml:space="preserve">Drag/tag</t>
  </si>
  <si>
    <t xml:space="preserve">Standard drag at 75%, tag-along at any sale</t>
  </si>
  <si>
    <t xml:space="preserve">Equity kicker risk</t>
  </si>
  <si>
    <t xml:space="preserve">Note: existing Yan + Kurilo holds 4.5% of UpCharge sale proceeds</t>
  </si>
  <si>
    <t xml:space="preserve">Reserved matters</t>
  </si>
  <si>
    <t xml:space="preserve">Approval rights on: new debt &gt;$200K, M&amp;A, founder comp &gt;base</t>
  </si>
  <si>
    <t xml:space="preserve">RISK REGISTER — Creditor Perspective</t>
  </si>
  <si>
    <t xml:space="preserve">#</t>
  </si>
  <si>
    <t xml:space="preserve">Risk</t>
  </si>
  <si>
    <t xml:space="preserve">Description / impact</t>
  </si>
  <si>
    <t xml:space="preserve">Severity</t>
  </si>
  <si>
    <t xml:space="preserve">Likelihood</t>
  </si>
  <si>
    <t xml:space="preserve">Score</t>
  </si>
  <si>
    <t xml:space="preserve">Mitigant required</t>
  </si>
  <si>
    <t xml:space="preserve">Shopify 15% revenue share enforcement</t>
  </si>
  <si>
    <t xml:space="preserve">Apps may be brought into 15% Shopify rev-share. Combined hit ~$339K/yr — breaks DSCR.</t>
  </si>
  <si>
    <t xml:space="preserve">Pre-fund 6-month DS reserve; Shopify-fee covenant trip with cash sweep</t>
  </si>
  <si>
    <t xml:space="preserve">DSCR &lt; 1.25x in stress case</t>
  </si>
  <si>
    <t xml:space="preserve">Base DSCR ~1.0x; stress 0.6-0.8x. Insufficient cushion for typical lender covenant</t>
  </si>
  <si>
    <t xml:space="preserve">Tenor stretch to 10yr, interest-only 2yr, mandatory cash sweep above $X EBITDA</t>
  </si>
  <si>
    <t xml:space="preserve">Organic portfolio in decline (-5.4% YoY)</t>
  </si>
  <si>
    <t xml:space="preserve">Every existing app down 2-8% — growth is purely from UpCharge acquisition</t>
  </si>
  <si>
    <t xml:space="preserve">Operating covenants: minimum portfolio ARR floor; product-investment commitment</t>
  </si>
  <si>
    <t xml:space="preserve">Customer / app concentration</t>
  </si>
  <si>
    <t xml:space="preserve">MBC Bundle + UpChargeFees = 63% of revenue. Single app failure = 30%+ revenue loss</t>
  </si>
  <si>
    <t xml:space="preserve">App-level KPI reporting; cross-collateralization across portfolio</t>
  </si>
  <si>
    <t xml:space="preserve">Existing debt stack is heavy + complex</t>
  </si>
  <si>
    <t xml:space="preserve">$1.13M existing debt + $2M new = $3.1M total / $1.1M EBITDA = 2.9x — top of SMB range. Many insider loans, informal docs</t>
  </si>
  <si>
    <t xml:space="preserve">Mandatory debt cleanup pre-close; refinance/subordinate insider debt</t>
  </si>
  <si>
    <t xml:space="preserve">Informal / crypto-routed debt repayment</t>
  </si>
  <si>
    <t xml:space="preserve">Yuri Lavkov Cash (€33K) not formally documented, paid via crypto. AML/tax exposure</t>
  </si>
  <si>
    <t xml:space="preserve">Require formal documentation pre-close; tax counsel opinion</t>
  </si>
  <si>
    <t xml:space="preserve">FX risk — EUR liabilities</t>
  </si>
  <si>
    <t xml:space="preserve">€155K EUR debt, USD revenue. EUR strength = larger USD service cost</t>
  </si>
  <si>
    <t xml:space="preserve">FX hedge for &gt;12-month obligations OR convert to USD</t>
  </si>
  <si>
    <t xml:space="preserve">Earn-out drag ($29K/month thru 2026)</t>
  </si>
  <si>
    <t xml:space="preserve">MageWorx earn-out absorbs $338K/yr cash through Dec 2026, then drops</t>
  </si>
  <si>
    <t xml:space="preserve">Reflected in DSCR; covenant calc should add back during step-down period</t>
  </si>
  <si>
    <t xml:space="preserve">Equity kicker dilution (4.5% of UpCharge)</t>
  </si>
  <si>
    <t xml:space="preserve">Stayetski 3% + Kurilo 1.5% of UpCharge sale proceeds — reduces creditor recovery in liquidation</t>
  </si>
  <si>
    <t xml:space="preserve">Subordinate equity kickers to senior debt repayment</t>
  </si>
  <si>
    <t xml:space="preserve">Founder-dependence</t>
  </si>
  <si>
    <t xml:space="preserve">Small operator team; founders also act as creditors and shareholders. Key-person risk</t>
  </si>
  <si>
    <t xml:space="preserve">Key-person life insurance; non-compete; phased payouts</t>
  </si>
  <si>
    <t xml:space="preserve">Target seller-reported numbers (no audit)</t>
  </si>
  <si>
    <t xml:space="preserve">Target P&amp;L is seller-prepared; QofE not done. Risk of revenue recognition / addback aggression</t>
  </si>
  <si>
    <t xml:space="preserve">QofE (3rd-party Quality of Earnings) MANDATORY pre-close; PPA included in deal docs</t>
  </si>
  <si>
    <t xml:space="preserve">Holding guarantee value limited</t>
  </si>
  <si>
    <t xml:space="preserve">Capitaliply EBITDA only $407K standalone; cannot rescue NewCo if target underperforms</t>
  </si>
  <si>
    <t xml:space="preserve">Cross-default; cash sweep at holding; restrict distributions to shareholders</t>
  </si>
  <si>
    <t xml:space="preserve">Refinance/maturity wall 2026-2027</t>
  </si>
  <si>
    <t xml:space="preserve">MageWorx 15% + Lychkouski $200K due Dec 2026; Yuri Lavkov by May 2027 — same window as new debt early years</t>
  </si>
  <si>
    <t xml:space="preserve">Extend or refinance pre-close; lock in standstill agreements</t>
  </si>
  <si>
    <t xml:space="preserve">Shopify platform dependency</t>
  </si>
  <si>
    <t xml:space="preserve">100% of revenue depends on Shopify platform health, policy, ToS</t>
  </si>
  <si>
    <t xml:space="preserve">Long-term lender — diversification covenant; alternative-channel plan</t>
  </si>
  <si>
    <t xml:space="preserve">Russia/CIS founder geography</t>
  </si>
  <si>
    <t xml:space="preserve">If founders are Russia/Belarus-resident → sanctions, banking, payment risk</t>
  </si>
  <si>
    <t xml:space="preserve">KYC, sanctions screening, structure via clean jurisdiction (Cyprus/NL)</t>
  </si>
  <si>
    <t xml:space="preserve">Severity: 1=trivial, 5=critical | Likelihood: 1=remote, 5=near-certain | Score = Sev × Lik (≥16 = RED, 9-15 = YELLOW)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</si>
</sst>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;&quot;($&quot;#,##0\);\-"/>
    <numFmt numFmtId="166" formatCode="0.00\x"/>
    <numFmt numFmtId="167" formatCode="0.0000"/>
    <numFmt numFmtId="168" formatCode="0.0%;\(0.0%\);\-"/>
    <numFmt numFmtId="169" formatCode="0"/>
    <numFmt numFmtId="170" formatCode="\€#,##0;&quot;(€&quot;#,##0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i val="true"/>
      <sz val="12"/>
      <color rgb="FF595959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D9E1F2"/>
        <bgColor rgb="FFF2F2F2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8CBAD"/>
        <bgColor rgb="FFFFF2CC"/>
      </patternFill>
    </fill>
    <fill>
      <patternFill patternType="solid">
        <fgColor rgb="FFFFF2CC"/>
        <bgColor rgb="FFF2F2F2"/>
      </patternFill>
    </fill>
    <fill>
      <patternFill patternType="solid">
        <fgColor rgb="FF305496"/>
        <bgColor rgb="FF1F3864"/>
      </patternFill>
    </fill>
    <fill>
      <patternFill patternType="solid">
        <fgColor rgb="FFC6EFCE"/>
        <bgColor rgb="FFD9E1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2"/>
    <col collapsed="false" customWidth="true" hidden="false" outlineLevel="0" max="5" min="3" style="1" width="20"/>
  </cols>
  <sheetData>
    <row r="2" customFormat="false" ht="21.75" hidden="false" customHeight="true" outlineLevel="0" collapsed="false">
      <c r="B2" s="2" t="s">
        <v>0</v>
      </c>
      <c r="C2" s="2"/>
      <c r="D2" s="2"/>
      <c r="E2" s="2"/>
    </row>
    <row r="3" customFormat="false" ht="15" hidden="false" customHeight="true" outlineLevel="0" collapsed="false">
      <c r="B3" s="3" t="s">
        <v>1</v>
      </c>
      <c r="C3" s="3"/>
      <c r="D3" s="3"/>
      <c r="E3" s="3"/>
    </row>
    <row r="4" customFormat="false" ht="15" hidden="false" customHeight="true" outlineLevel="0" collapsed="false">
      <c r="B4" s="4" t="s">
        <v>2</v>
      </c>
    </row>
    <row r="6" customFormat="false" ht="15" hidden="false" customHeight="true" outlineLevel="0" collapsed="false">
      <c r="B6" s="5" t="s">
        <v>3</v>
      </c>
    </row>
    <row r="7" customFormat="false" ht="15" hidden="false" customHeight="true" outlineLevel="0" collapsed="false">
      <c r="B7" s="6" t="s">
        <v>4</v>
      </c>
      <c r="C7" s="7" t="s">
        <v>5</v>
      </c>
      <c r="D7" s="7"/>
      <c r="E7" s="7"/>
    </row>
    <row r="8" customFormat="false" ht="15" hidden="false" customHeight="true" outlineLevel="0" collapsed="false">
      <c r="B8" s="6" t="s">
        <v>6</v>
      </c>
      <c r="C8" s="7" t="s">
        <v>7</v>
      </c>
      <c r="D8" s="7"/>
      <c r="E8" s="7"/>
    </row>
    <row r="9" customFormat="false" ht="15" hidden="false" customHeight="true" outlineLevel="0" collapsed="false">
      <c r="B9" s="6" t="s">
        <v>8</v>
      </c>
      <c r="C9" s="7" t="s">
        <v>9</v>
      </c>
      <c r="D9" s="7"/>
      <c r="E9" s="7"/>
    </row>
    <row r="10" customFormat="false" ht="15" hidden="false" customHeight="true" outlineLevel="0" collapsed="false">
      <c r="B10" s="6" t="s">
        <v>10</v>
      </c>
      <c r="C10" s="7" t="s">
        <v>11</v>
      </c>
      <c r="D10" s="7"/>
      <c r="E10" s="7"/>
    </row>
    <row r="11" customFormat="false" ht="15" hidden="false" customHeight="true" outlineLevel="0" collapsed="false">
      <c r="B11" s="6" t="s">
        <v>12</v>
      </c>
      <c r="C11" s="7" t="s">
        <v>13</v>
      </c>
      <c r="D11" s="7"/>
      <c r="E11" s="7"/>
    </row>
    <row r="12" customFormat="false" ht="15" hidden="false" customHeight="true" outlineLevel="0" collapsed="false">
      <c r="B12" s="6" t="s">
        <v>14</v>
      </c>
      <c r="C12" s="7" t="s">
        <v>15</v>
      </c>
      <c r="D12" s="7"/>
      <c r="E12" s="7"/>
    </row>
    <row r="13" customFormat="false" ht="15" hidden="false" customHeight="true" outlineLevel="0" collapsed="false">
      <c r="B13" s="6" t="s">
        <v>16</v>
      </c>
      <c r="C13" s="7" t="s">
        <v>17</v>
      </c>
      <c r="D13" s="7"/>
      <c r="E13" s="7"/>
    </row>
    <row r="14" customFormat="false" ht="15" hidden="false" customHeight="true" outlineLevel="0" collapsed="false">
      <c r="B14" s="6" t="s">
        <v>18</v>
      </c>
      <c r="C14" s="7" t="s">
        <v>19</v>
      </c>
      <c r="D14" s="7"/>
      <c r="E14" s="7"/>
    </row>
    <row r="15" customFormat="false" ht="15" hidden="false" customHeight="true" outlineLevel="0" collapsed="false">
      <c r="B15" s="6" t="s">
        <v>20</v>
      </c>
      <c r="C15" s="7" t="s">
        <v>21</v>
      </c>
      <c r="D15" s="7"/>
      <c r="E15" s="7"/>
    </row>
    <row r="18" customFormat="false" ht="15" hidden="false" customHeight="true" outlineLevel="0" collapsed="false">
      <c r="B18" s="5" t="s">
        <v>22</v>
      </c>
    </row>
    <row r="19" customFormat="false" ht="15" hidden="false" customHeight="true" outlineLevel="0" collapsed="false">
      <c r="B19" s="1" t="s">
        <v>23</v>
      </c>
      <c r="C19" s="8" t="n">
        <v>2400000</v>
      </c>
    </row>
    <row r="20" customFormat="false" ht="15" hidden="false" customHeight="true" outlineLevel="0" collapsed="false">
      <c r="B20" s="1" t="s">
        <v>24</v>
      </c>
      <c r="C20" s="9" t="n">
        <v>2000000</v>
      </c>
    </row>
    <row r="21" customFormat="false" ht="15" hidden="false" customHeight="true" outlineLevel="0" collapsed="false">
      <c r="B21" s="1" t="s">
        <v>25</v>
      </c>
      <c r="C21" s="9" t="n">
        <v>400000</v>
      </c>
    </row>
    <row r="22" customFormat="false" ht="15" hidden="false" customHeight="true" outlineLevel="0" collapsed="false">
      <c r="B22" s="1" t="s">
        <v>26</v>
      </c>
      <c r="C22" s="8" t="n">
        <v>500000</v>
      </c>
    </row>
    <row r="24" customFormat="false" ht="15" hidden="false" customHeight="true" outlineLevel="0" collapsed="false">
      <c r="B24" s="1" t="s">
        <v>27</v>
      </c>
      <c r="C24" s="10" t="n">
        <f aca="false">'2. Capitaliply P&amp;L'!C16 + '3. Target P&amp;L'!C9</f>
        <v>680541.426858251</v>
      </c>
    </row>
    <row r="25" customFormat="false" ht="15" hidden="false" customHeight="true" outlineLevel="0" collapsed="false">
      <c r="B25" s="1" t="s">
        <v>28</v>
      </c>
      <c r="C25" s="10" t="n">
        <f aca="false">'4. Debt Stack'!E27</f>
        <v>3131240.16</v>
      </c>
    </row>
    <row r="26" customFormat="false" ht="15" hidden="false" customHeight="true" outlineLevel="0" collapsed="false">
      <c r="B26" s="1" t="s">
        <v>29</v>
      </c>
      <c r="C26" s="11" t="n">
        <f aca="false">C25/C24</f>
        <v>4.60110147071502</v>
      </c>
    </row>
  </sheetData>
  <mergeCells count="11">
    <mergeCell ref="B2:E2"/>
    <mergeCell ref="B3:E3"/>
    <mergeCell ref="C7:E7"/>
    <mergeCell ref="C8:E8"/>
    <mergeCell ref="C9:E9"/>
    <mergeCell ref="C10:E10"/>
    <mergeCell ref="C11:E11"/>
    <mergeCell ref="C12:E12"/>
    <mergeCell ref="C13:E13"/>
    <mergeCell ref="C14:E14"/>
    <mergeCell ref="C15:E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2"/>
    <col collapsed="false" customWidth="true" hidden="false" outlineLevel="0" max="4" min="3" style="1" width="16"/>
    <col collapsed="false" customWidth="true" hidden="false" outlineLevel="0" max="5" min="5" style="1" width="40"/>
  </cols>
  <sheetData>
    <row r="1" customFormat="false" ht="15" hidden="false" customHeight="true" outlineLevel="0" collapsed="false">
      <c r="A1" s="12" t="s">
        <v>30</v>
      </c>
      <c r="B1" s="12"/>
      <c r="C1" s="12"/>
      <c r="D1" s="12"/>
      <c r="E1" s="12"/>
    </row>
    <row r="3" customFormat="false" ht="15" hidden="false" customHeight="true" outlineLevel="0" collapsed="false">
      <c r="B3" s="13" t="s">
        <v>31</v>
      </c>
    </row>
    <row r="4" customFormat="false" ht="15" hidden="false" customHeight="true" outlineLevel="0" collapsed="false">
      <c r="B4" s="1" t="s">
        <v>32</v>
      </c>
      <c r="C4" s="14" t="n">
        <v>1.08</v>
      </c>
      <c r="E4" s="1" t="s">
        <v>33</v>
      </c>
    </row>
    <row r="6" customFormat="false" ht="15" hidden="false" customHeight="true" outlineLevel="0" collapsed="false">
      <c r="B6" s="13" t="s">
        <v>34</v>
      </c>
    </row>
    <row r="7" customFormat="false" ht="15" hidden="false" customHeight="true" outlineLevel="0" collapsed="false">
      <c r="B7" s="1" t="s">
        <v>35</v>
      </c>
      <c r="C7" s="9" t="n">
        <v>2400000</v>
      </c>
      <c r="E7" s="1" t="s">
        <v>36</v>
      </c>
    </row>
    <row r="8" customFormat="false" ht="15" hidden="false" customHeight="true" outlineLevel="0" collapsed="false">
      <c r="B8" s="1" t="s">
        <v>37</v>
      </c>
      <c r="C8" s="9" t="n">
        <v>2000000</v>
      </c>
      <c r="E8" s="1" t="s">
        <v>38</v>
      </c>
    </row>
    <row r="9" customFormat="false" ht="15" hidden="false" customHeight="true" outlineLevel="0" collapsed="false">
      <c r="B9" s="1" t="s">
        <v>39</v>
      </c>
      <c r="C9" s="9" t="n">
        <v>500000</v>
      </c>
      <c r="E9" s="1" t="s">
        <v>40</v>
      </c>
    </row>
    <row r="10" customFormat="false" ht="15" hidden="false" customHeight="true" outlineLevel="0" collapsed="false">
      <c r="B10" s="1" t="s">
        <v>41</v>
      </c>
      <c r="C10" s="15" t="n">
        <f aca="false">C7-C8</f>
        <v>400000</v>
      </c>
      <c r="E10" s="1" t="s">
        <v>42</v>
      </c>
    </row>
    <row r="12" customFormat="false" ht="15" hidden="false" customHeight="true" outlineLevel="0" collapsed="false">
      <c r="B12" s="13" t="s">
        <v>43</v>
      </c>
    </row>
    <row r="13" customFormat="false" ht="15" hidden="false" customHeight="true" outlineLevel="0" collapsed="false">
      <c r="B13" s="1" t="s">
        <v>44</v>
      </c>
      <c r="C13" s="16" t="n">
        <v>0.12</v>
      </c>
      <c r="E13" s="1" t="s">
        <v>45</v>
      </c>
    </row>
    <row r="14" customFormat="false" ht="15" hidden="false" customHeight="true" outlineLevel="0" collapsed="false">
      <c r="B14" s="1" t="s">
        <v>46</v>
      </c>
      <c r="C14" s="17" t="n">
        <v>7</v>
      </c>
      <c r="E14" s="1" t="s">
        <v>47</v>
      </c>
    </row>
    <row r="15" customFormat="false" ht="15" hidden="false" customHeight="true" outlineLevel="0" collapsed="false">
      <c r="B15" s="1" t="s">
        <v>48</v>
      </c>
      <c r="C15" s="18" t="s">
        <v>49</v>
      </c>
      <c r="E15" s="1" t="s">
        <v>50</v>
      </c>
    </row>
    <row r="17" customFormat="false" ht="15" hidden="false" customHeight="true" outlineLevel="0" collapsed="false">
      <c r="B17" s="13" t="s">
        <v>51</v>
      </c>
    </row>
    <row r="18" customFormat="false" ht="15" hidden="false" customHeight="true" outlineLevel="0" collapsed="false">
      <c r="B18" s="19" t="s">
        <v>52</v>
      </c>
      <c r="C18" s="19" t="s">
        <v>53</v>
      </c>
      <c r="D18" s="19" t="s">
        <v>54</v>
      </c>
      <c r="E18" s="19" t="s">
        <v>55</v>
      </c>
    </row>
    <row r="19" customFormat="false" ht="15" hidden="false" customHeight="true" outlineLevel="0" collapsed="false">
      <c r="B19" s="1" t="s">
        <v>56</v>
      </c>
      <c r="C19" s="20" t="n">
        <v>2</v>
      </c>
      <c r="D19" s="20" t="n">
        <v>4</v>
      </c>
      <c r="E19" s="1" t="s">
        <v>57</v>
      </c>
    </row>
    <row r="20" customFormat="false" ht="15" hidden="false" customHeight="true" outlineLevel="0" collapsed="false">
      <c r="B20" s="1" t="s">
        <v>58</v>
      </c>
      <c r="C20" s="20" t="n">
        <v>1.5</v>
      </c>
      <c r="D20" s="20" t="n">
        <v>3</v>
      </c>
      <c r="E20" s="1" t="s">
        <v>59</v>
      </c>
    </row>
    <row r="21" customFormat="false" ht="15" hidden="false" customHeight="true" outlineLevel="0" collapsed="false">
      <c r="B21" s="1" t="s">
        <v>60</v>
      </c>
      <c r="C21" s="20" t="n">
        <v>3</v>
      </c>
      <c r="D21" s="20" t="n">
        <v>5</v>
      </c>
      <c r="E21" s="1" t="s">
        <v>61</v>
      </c>
    </row>
    <row r="22" customFormat="false" ht="15" hidden="false" customHeight="true" outlineLevel="0" collapsed="false">
      <c r="B22" s="1" t="s">
        <v>62</v>
      </c>
      <c r="C22" s="20" t="n">
        <v>4</v>
      </c>
      <c r="D22" s="20" t="n">
        <v>6</v>
      </c>
      <c r="E22" s="1" t="s">
        <v>63</v>
      </c>
    </row>
    <row r="25" customFormat="false" ht="15" hidden="false" customHeight="true" outlineLevel="0" collapsed="false">
      <c r="B25" s="13" t="s">
        <v>64</v>
      </c>
    </row>
    <row r="26" customFormat="false" ht="15" hidden="false" customHeight="true" outlineLevel="0" collapsed="false">
      <c r="B26" s="1" t="s">
        <v>65</v>
      </c>
      <c r="C26" s="16" t="n">
        <v>0.14</v>
      </c>
      <c r="E26" s="1" t="s">
        <v>66</v>
      </c>
    </row>
    <row r="27" customFormat="false" ht="15" hidden="false" customHeight="true" outlineLevel="0" collapsed="false">
      <c r="B27" s="1" t="s">
        <v>67</v>
      </c>
      <c r="C27" s="16" t="n">
        <v>0</v>
      </c>
      <c r="E27" s="1" t="s">
        <v>68</v>
      </c>
    </row>
    <row r="28" customFormat="false" ht="15" hidden="false" customHeight="true" outlineLevel="0" collapsed="false">
      <c r="B28" s="1" t="s">
        <v>69</v>
      </c>
      <c r="C28" s="17" t="n">
        <v>5</v>
      </c>
    </row>
    <row r="29" customFormat="false" ht="15" hidden="false" customHeight="true" outlineLevel="0" collapsed="false">
      <c r="B29" s="1" t="s">
        <v>70</v>
      </c>
      <c r="C29" s="17" t="n">
        <v>0</v>
      </c>
      <c r="E29" s="1" t="s">
        <v>71</v>
      </c>
    </row>
    <row r="30" customFormat="false" ht="15" hidden="false" customHeight="true" outlineLevel="0" collapsed="false">
      <c r="B30" s="1" t="s">
        <v>72</v>
      </c>
      <c r="C30" s="17" t="n">
        <v>1</v>
      </c>
      <c r="E30" s="1" t="s">
        <v>73</v>
      </c>
    </row>
    <row r="33" customFormat="false" ht="15" hidden="false" customHeight="true" outlineLevel="0" collapsed="false">
      <c r="B33" s="13" t="s">
        <v>74</v>
      </c>
    </row>
    <row r="34" customFormat="false" ht="15" hidden="false" customHeight="true" outlineLevel="0" collapsed="false">
      <c r="B34" s="1" t="s">
        <v>75</v>
      </c>
      <c r="C34" s="16" t="n">
        <v>-0.05</v>
      </c>
      <c r="E34" s="1" t="s">
        <v>76</v>
      </c>
    </row>
    <row r="35" customFormat="false" ht="15" hidden="false" customHeight="true" outlineLevel="0" collapsed="false">
      <c r="B35" s="1" t="s">
        <v>77</v>
      </c>
      <c r="C35" s="16" t="n">
        <v>0</v>
      </c>
      <c r="E35" s="1" t="s">
        <v>78</v>
      </c>
    </row>
    <row r="36" customFormat="false" ht="15" hidden="false" customHeight="true" outlineLevel="0" collapsed="false">
      <c r="B36" s="1" t="s">
        <v>79</v>
      </c>
      <c r="C36" s="16" t="n">
        <v>0.15</v>
      </c>
      <c r="E36" s="1" t="s">
        <v>80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6" min="3" style="1" width="16"/>
  </cols>
  <sheetData>
    <row r="1" customFormat="false" ht="15" hidden="false" customHeight="true" outlineLevel="0" collapsed="false">
      <c r="A1" s="12" t="s">
        <v>81</v>
      </c>
      <c r="B1" s="12"/>
      <c r="C1" s="12"/>
      <c r="D1" s="12"/>
      <c r="E1" s="12"/>
      <c r="F1" s="12"/>
    </row>
    <row r="3" customFormat="false" ht="15" hidden="false" customHeight="true" outlineLevel="0" collapsed="false">
      <c r="B3" s="21"/>
      <c r="C3" s="21" t="s">
        <v>82</v>
      </c>
      <c r="D3" s="21" t="s">
        <v>83</v>
      </c>
      <c r="E3" s="21" t="s">
        <v>84</v>
      </c>
      <c r="F3" s="21" t="s">
        <v>85</v>
      </c>
    </row>
    <row r="4" customFormat="false" ht="15" hidden="false" customHeight="true" outlineLevel="0" collapsed="false">
      <c r="B4" s="19" t="s">
        <v>86</v>
      </c>
      <c r="C4" s="22" t="n">
        <v>790145.93</v>
      </c>
      <c r="D4" s="22" t="n">
        <v>315055.4</v>
      </c>
      <c r="E4" s="23" t="n">
        <f aca="false">D4*4</f>
        <v>1260221.6</v>
      </c>
      <c r="F4" s="24" t="n">
        <f aca="false">IFERROR(E4/C4-1,"-")</f>
        <v>0.594922598664781</v>
      </c>
    </row>
    <row r="5" customFormat="false" ht="15" hidden="false" customHeight="true" outlineLevel="0" collapsed="false">
      <c r="B5" s="25" t="s">
        <v>87</v>
      </c>
      <c r="C5" s="9" t="n">
        <v>452865.62</v>
      </c>
      <c r="D5" s="9" t="n">
        <v>201959.55</v>
      </c>
      <c r="E5" s="15" t="n">
        <f aca="false">D5*4</f>
        <v>807838.2</v>
      </c>
      <c r="F5" s="26" t="n">
        <f aca="false">IFERROR(E5/C5-1,"-")</f>
        <v>0.783836450203484</v>
      </c>
    </row>
    <row r="6" customFormat="false" ht="15" hidden="false" customHeight="true" outlineLevel="0" collapsed="false">
      <c r="B6" s="19" t="s">
        <v>88</v>
      </c>
      <c r="C6" s="22" t="n">
        <v>337280.31</v>
      </c>
      <c r="D6" s="22" t="n">
        <v>113095.85</v>
      </c>
      <c r="E6" s="23" t="n">
        <f aca="false">D6*4</f>
        <v>452383.4</v>
      </c>
      <c r="F6" s="24" t="n">
        <f aca="false">IFERROR(E6/C6-1,"-")</f>
        <v>0.341268335527799</v>
      </c>
    </row>
    <row r="8" customFormat="false" ht="15" hidden="false" customHeight="true" outlineLevel="0" collapsed="false">
      <c r="B8" s="25" t="s">
        <v>89</v>
      </c>
      <c r="C8" s="9" t="n">
        <v>117697.48</v>
      </c>
      <c r="D8" s="9" t="n">
        <v>31690.29</v>
      </c>
      <c r="E8" s="15" t="n">
        <f aca="false">D8*4</f>
        <v>126761.16</v>
      </c>
      <c r="F8" s="26" t="n">
        <f aca="false">IFERROR(E8/C8-1,"-")</f>
        <v>0.0770082757931607</v>
      </c>
    </row>
    <row r="9" customFormat="false" ht="15" hidden="false" customHeight="true" outlineLevel="0" collapsed="false">
      <c r="B9" s="19" t="s">
        <v>90</v>
      </c>
      <c r="C9" s="22" t="n">
        <v>219582.83</v>
      </c>
      <c r="D9" s="22" t="n">
        <v>81405.56</v>
      </c>
      <c r="E9" s="23" t="n">
        <f aca="false">D9*4</f>
        <v>325622.24</v>
      </c>
      <c r="F9" s="24" t="n">
        <f aca="false">IFERROR(E9/C9-1,"-")</f>
        <v>0.482913031041635</v>
      </c>
    </row>
    <row r="11" customFormat="false" ht="15" hidden="false" customHeight="true" outlineLevel="0" collapsed="false">
      <c r="B11" s="25" t="s">
        <v>91</v>
      </c>
      <c r="C11" s="9" t="n">
        <v>13211.02</v>
      </c>
      <c r="D11" s="9" t="n">
        <v>13025.98</v>
      </c>
      <c r="E11" s="15" t="n">
        <f aca="false">D11*4</f>
        <v>52103.92</v>
      </c>
      <c r="F11" s="26" t="n">
        <f aca="false">IFERROR(E11/C11-1,"-")</f>
        <v>2.94397404591016</v>
      </c>
    </row>
    <row r="12" customFormat="false" ht="15" hidden="false" customHeight="true" outlineLevel="0" collapsed="false">
      <c r="B12" s="25" t="s">
        <v>92</v>
      </c>
      <c r="C12" s="9" t="n">
        <v>20342.64</v>
      </c>
      <c r="D12" s="9" t="n">
        <v>7273.97</v>
      </c>
      <c r="E12" s="15" t="n">
        <f aca="false">D12*4</f>
        <v>29095.88</v>
      </c>
      <c r="F12" s="26" t="n">
        <f aca="false">IFERROR(E12/C12-1,"-")</f>
        <v>0.430290267143301</v>
      </c>
    </row>
    <row r="13" customFormat="false" ht="15" hidden="false" customHeight="true" outlineLevel="0" collapsed="false">
      <c r="B13" s="19" t="s">
        <v>93</v>
      </c>
      <c r="C13" s="22" t="n">
        <v>253136.49</v>
      </c>
      <c r="D13" s="22" t="n">
        <v>101705.51</v>
      </c>
      <c r="E13" s="23" t="n">
        <f aca="false">D13*4</f>
        <v>406822.04</v>
      </c>
      <c r="F13" s="24" t="n">
        <f aca="false">IFERROR(E13/C13-1,"-")</f>
        <v>0.607125231135187</v>
      </c>
    </row>
    <row r="15" customFormat="false" ht="15" hidden="false" customHeight="true" outlineLevel="0" collapsed="false">
      <c r="B15" s="13" t="s">
        <v>94</v>
      </c>
    </row>
    <row r="16" customFormat="false" ht="15" hidden="false" customHeight="true" outlineLevel="0" collapsed="false">
      <c r="B16" s="1" t="s">
        <v>95</v>
      </c>
      <c r="C16" s="27" t="n">
        <f aca="false">C6/C4</f>
        <v>0.426858251361239</v>
      </c>
      <c r="D16" s="27" t="n">
        <f aca="false">D6/D4</f>
        <v>0.358971311077353</v>
      </c>
      <c r="E16" s="27" t="n">
        <f aca="false">E6/E4</f>
        <v>0.358971311077353</v>
      </c>
    </row>
    <row r="17" customFormat="false" ht="15" hidden="false" customHeight="true" outlineLevel="0" collapsed="false">
      <c r="B17" s="1" t="s">
        <v>96</v>
      </c>
      <c r="C17" s="27" t="n">
        <f aca="false">C13/C4</f>
        <v>0.320366758074676</v>
      </c>
      <c r="D17" s="27" t="n">
        <f aca="false">D13/D4</f>
        <v>0.322817859970024</v>
      </c>
      <c r="E17" s="27" t="n">
        <f aca="false">E13/E4</f>
        <v>0.322817859970024</v>
      </c>
    </row>
    <row r="20" customFormat="false" ht="15" hidden="false" customHeight="true" outlineLevel="0" collapsed="false">
      <c r="B20" s="13" t="s">
        <v>97</v>
      </c>
    </row>
    <row r="21" customFormat="false" ht="15" hidden="false" customHeight="true" outlineLevel="0" collapsed="false">
      <c r="B21" s="19" t="s">
        <v>98</v>
      </c>
      <c r="C21" s="19" t="s">
        <v>99</v>
      </c>
      <c r="D21" s="19" t="s">
        <v>100</v>
      </c>
      <c r="E21" s="19" t="s">
        <v>85</v>
      </c>
      <c r="F21" s="19" t="s">
        <v>101</v>
      </c>
    </row>
    <row r="22" customFormat="false" ht="15" hidden="false" customHeight="true" outlineLevel="0" collapsed="false">
      <c r="B22" s="1" t="s">
        <v>102</v>
      </c>
      <c r="C22" s="9" t="n">
        <v>423826.69</v>
      </c>
      <c r="D22" s="9" t="n">
        <v>394851.16</v>
      </c>
      <c r="E22" s="27" t="n">
        <f aca="false">IFERROR(D22/C22-1,"-")</f>
        <v>-0.0683664589410357</v>
      </c>
      <c r="F22" s="1" t="s">
        <v>103</v>
      </c>
    </row>
    <row r="23" customFormat="false" ht="15" hidden="false" customHeight="true" outlineLevel="0" collapsed="false">
      <c r="B23" s="1" t="s">
        <v>104</v>
      </c>
      <c r="C23" s="9" t="n">
        <v>100832.84</v>
      </c>
      <c r="D23" s="9" t="n">
        <v>98452.14</v>
      </c>
      <c r="E23" s="27" t="n">
        <f aca="false">IFERROR(D23/C23-1,"-")</f>
        <v>-0.0236103634490509</v>
      </c>
      <c r="F23" s="1" t="s">
        <v>105</v>
      </c>
    </row>
    <row r="24" customFormat="false" ht="15" hidden="false" customHeight="true" outlineLevel="0" collapsed="false">
      <c r="B24" s="1" t="s">
        <v>106</v>
      </c>
      <c r="C24" s="9" t="n">
        <v>37585.8</v>
      </c>
      <c r="D24" s="9" t="n">
        <v>34750.68</v>
      </c>
      <c r="E24" s="27" t="n">
        <f aca="false">IFERROR(D24/C24-1,"-")</f>
        <v>-0.0754306147534442</v>
      </c>
      <c r="F24" s="1" t="s">
        <v>107</v>
      </c>
    </row>
    <row r="25" customFormat="false" ht="15" hidden="false" customHeight="true" outlineLevel="0" collapsed="false">
      <c r="B25" s="1" t="s">
        <v>108</v>
      </c>
      <c r="C25" s="9" t="n">
        <v>167894.33</v>
      </c>
      <c r="D25" s="9" t="n">
        <v>153795.99</v>
      </c>
      <c r="E25" s="27" t="n">
        <f aca="false">IFERROR(D25/C25-1,"-")</f>
        <v>-0.0839715075547817</v>
      </c>
      <c r="F25" s="1" t="s">
        <v>109</v>
      </c>
    </row>
    <row r="26" customFormat="false" ht="15" hidden="false" customHeight="true" outlineLevel="0" collapsed="false">
      <c r="B26" s="1" t="s">
        <v>110</v>
      </c>
      <c r="C26" s="9" t="n">
        <v>185938.02</v>
      </c>
      <c r="D26" s="9" t="n">
        <v>184888.8</v>
      </c>
      <c r="E26" s="27" t="n">
        <f aca="false">IFERROR(D26/C26-1,"-")</f>
        <v>-0.00564284808453919</v>
      </c>
      <c r="F26" s="1" t="s">
        <v>111</v>
      </c>
    </row>
    <row r="27" customFormat="false" ht="15" hidden="false" customHeight="true" outlineLevel="0" collapsed="false">
      <c r="B27" s="1" t="s">
        <v>112</v>
      </c>
      <c r="C27" s="9" t="n">
        <v>295234.87</v>
      </c>
      <c r="D27" s="9" t="n">
        <v>410985.9</v>
      </c>
      <c r="E27" s="27" t="n">
        <f aca="false">IFERROR(D27/C27-1,"-")</f>
        <v>0.39206422330804</v>
      </c>
      <c r="F27" s="1" t="s">
        <v>113</v>
      </c>
    </row>
    <row r="28" customFormat="false" ht="15" hidden="false" customHeight="true" outlineLevel="0" collapsed="false">
      <c r="B28" s="19" t="s">
        <v>114</v>
      </c>
      <c r="C28" s="28" t="n">
        <f aca="false">SUM(C22:C27)</f>
        <v>1211312.55</v>
      </c>
      <c r="D28" s="28" t="n">
        <f aca="false">SUM(D22:D27)</f>
        <v>1277724.67</v>
      </c>
      <c r="E28" s="29" t="n">
        <f aca="false">IFERROR(D28/C28-1,"-")</f>
        <v>0.0548265763448086</v>
      </c>
      <c r="F28" s="30"/>
    </row>
    <row r="29" customFormat="false" ht="15" hidden="false" customHeight="true" outlineLevel="0" collapsed="false">
      <c r="B29" s="31" t="s">
        <v>115</v>
      </c>
      <c r="C29" s="32" t="n">
        <f aca="false">C28-C27</f>
        <v>916077.68</v>
      </c>
      <c r="D29" s="32" t="n">
        <f aca="false">D28-D27</f>
        <v>866738.77</v>
      </c>
      <c r="E29" s="33" t="n">
        <f aca="false">IFERROR(D29/C29-1,"-")</f>
        <v>-0.0538588714441772</v>
      </c>
      <c r="F29" s="34" t="s">
        <v>116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8"/>
    <col collapsed="false" customWidth="true" hidden="false" outlineLevel="0" max="5" min="3" style="1" width="16"/>
    <col collapsed="false" customWidth="true" hidden="false" outlineLevel="0" max="6" min="6" style="1" width="28"/>
  </cols>
  <sheetData>
    <row r="1" customFormat="false" ht="15" hidden="false" customHeight="true" outlineLevel="0" collapsed="false">
      <c r="A1" s="12" t="s">
        <v>117</v>
      </c>
      <c r="B1" s="12"/>
      <c r="C1" s="12"/>
      <c r="D1" s="12"/>
      <c r="E1" s="12"/>
      <c r="F1" s="12"/>
    </row>
    <row r="3" customFormat="false" ht="15" hidden="false" customHeight="true" outlineLevel="0" collapsed="false">
      <c r="B3" s="13"/>
      <c r="C3" s="13" t="s">
        <v>118</v>
      </c>
      <c r="D3" s="13" t="s">
        <v>119</v>
      </c>
      <c r="E3" s="13" t="s">
        <v>120</v>
      </c>
    </row>
    <row r="4" customFormat="false" ht="15" hidden="false" customHeight="true" outlineLevel="0" collapsed="false">
      <c r="B4" s="1" t="s">
        <v>121</v>
      </c>
      <c r="C4" s="8" t="n">
        <v>983587</v>
      </c>
      <c r="D4" s="27" t="n">
        <f aca="false">C4/$C$4</f>
        <v>1</v>
      </c>
      <c r="E4" s="1" t="s">
        <v>122</v>
      </c>
    </row>
    <row r="5" customFormat="false" ht="15" hidden="false" customHeight="true" outlineLevel="0" collapsed="false">
      <c r="B5" s="1" t="s">
        <v>123</v>
      </c>
      <c r="C5" s="35" t="n">
        <f aca="false">C6-C4</f>
        <v>-177046</v>
      </c>
      <c r="D5" s="27" t="n">
        <f aca="false">C5/$C$4</f>
        <v>-0.18000034567354</v>
      </c>
      <c r="E5" s="1" t="s">
        <v>124</v>
      </c>
    </row>
    <row r="6" customFormat="false" ht="15" hidden="false" customHeight="true" outlineLevel="0" collapsed="false">
      <c r="B6" s="1" t="s">
        <v>125</v>
      </c>
      <c r="C6" s="8" t="n">
        <v>806541</v>
      </c>
      <c r="D6" s="27" t="n">
        <f aca="false">C6/$C$4</f>
        <v>0.81999965432646</v>
      </c>
    </row>
    <row r="7" customFormat="false" ht="15" hidden="false" customHeight="true" outlineLevel="0" collapsed="false">
      <c r="B7" s="1" t="s">
        <v>126</v>
      </c>
      <c r="C7" s="35" t="n">
        <f aca="false">C9-C6</f>
        <v>-126000</v>
      </c>
      <c r="D7" s="27" t="n">
        <f aca="false">C7/$C$4</f>
        <v>-0.128102547105645</v>
      </c>
      <c r="E7" s="1" t="s">
        <v>127</v>
      </c>
    </row>
    <row r="9" customFormat="false" ht="15" hidden="false" customHeight="true" outlineLevel="0" collapsed="false">
      <c r="B9" s="30" t="s">
        <v>128</v>
      </c>
      <c r="C9" s="36" t="n">
        <v>680541</v>
      </c>
      <c r="D9" s="29" t="n">
        <f aca="false">C9/$C$4</f>
        <v>0.691897107220815</v>
      </c>
      <c r="E9" s="30"/>
    </row>
    <row r="12" customFormat="false" ht="15" hidden="false" customHeight="true" outlineLevel="0" collapsed="false">
      <c r="B12" s="37" t="s">
        <v>129</v>
      </c>
      <c r="C12" s="37"/>
      <c r="D12" s="37"/>
      <c r="E12" s="37"/>
    </row>
    <row r="13" customFormat="false" ht="15" hidden="false" customHeight="true" outlineLevel="0" collapsed="false">
      <c r="B13" s="13" t="s">
        <v>130</v>
      </c>
      <c r="C13" s="13" t="s">
        <v>131</v>
      </c>
      <c r="D13" s="13" t="s">
        <v>132</v>
      </c>
      <c r="E13" s="13" t="s">
        <v>120</v>
      </c>
    </row>
    <row r="14" customFormat="false" ht="15" hidden="false" customHeight="true" outlineLevel="0" collapsed="false">
      <c r="B14" s="1" t="s">
        <v>133</v>
      </c>
      <c r="C14" s="35" t="n">
        <v>0</v>
      </c>
      <c r="D14" s="10" t="n">
        <f aca="false">C9</f>
        <v>680541</v>
      </c>
      <c r="E14" s="1" t="s">
        <v>134</v>
      </c>
    </row>
    <row r="15" customFormat="false" ht="15" hidden="false" customHeight="true" outlineLevel="0" collapsed="false">
      <c r="B15" s="34" t="s">
        <v>135</v>
      </c>
      <c r="C15" s="38" t="n">
        <f aca="false">C4*'1. Assumptions'!C36</f>
        <v>147538.05</v>
      </c>
      <c r="D15" s="32" t="n">
        <f aca="false">C9-C15</f>
        <v>533002.95</v>
      </c>
      <c r="E15" s="34" t="s">
        <v>136</v>
      </c>
    </row>
    <row r="16" customFormat="false" ht="15" hidden="false" customHeight="true" outlineLevel="0" collapsed="false">
      <c r="B16" s="1" t="s">
        <v>137</v>
      </c>
      <c r="C16" s="35" t="n">
        <f aca="false">C15*0.5</f>
        <v>73769.025</v>
      </c>
      <c r="D16" s="35" t="n">
        <f aca="false">C9-C16</f>
        <v>606771.975</v>
      </c>
    </row>
    <row r="19" customFormat="false" ht="15" hidden="false" customHeight="true" outlineLevel="0" collapsed="false">
      <c r="B19" s="13" t="s">
        <v>138</v>
      </c>
    </row>
    <row r="20" customFormat="false" ht="15" hidden="false" customHeight="true" outlineLevel="0" collapsed="false">
      <c r="B20" s="1" t="s">
        <v>139</v>
      </c>
      <c r="C20" s="27" t="n">
        <f aca="false">C9/C4</f>
        <v>0.691897107220815</v>
      </c>
    </row>
    <row r="21" customFormat="false" ht="15" hidden="false" customHeight="true" outlineLevel="0" collapsed="false">
      <c r="B21" s="1" t="s">
        <v>140</v>
      </c>
      <c r="C21" s="27" t="n">
        <f aca="false">C9/C6</f>
        <v>0.843777315722325</v>
      </c>
    </row>
    <row r="22" customFormat="false" ht="15" hidden="false" customHeight="true" outlineLevel="0" collapsed="false">
      <c r="B22" s="1" t="s">
        <v>141</v>
      </c>
      <c r="C22" s="27" t="n">
        <f aca="false">1-C6/C4</f>
        <v>0.18000034567354</v>
      </c>
    </row>
  </sheetData>
  <mergeCells count="2">
    <mergeCell ref="A1:F1"/>
    <mergeCell ref="B12:E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8"/>
    <col collapsed="false" customWidth="true" hidden="false" outlineLevel="0" max="3" min="3" style="1" width="8"/>
    <col collapsed="false" customWidth="true" hidden="false" outlineLevel="0" max="5" min="4" style="1" width="14"/>
    <col collapsed="false" customWidth="true" hidden="false" outlineLevel="0" max="6" min="6" style="1" width="10"/>
    <col collapsed="false" customWidth="true" hidden="false" outlineLevel="0" max="7" min="7" style="1" width="14"/>
    <col collapsed="false" customWidth="true" hidden="false" outlineLevel="0" max="8" min="8" style="1" width="38"/>
  </cols>
  <sheetData>
    <row r="1" customFormat="false" ht="15" hidden="false" customHeight="true" outlineLevel="0" collapsed="false">
      <c r="A1" s="12" t="s">
        <v>142</v>
      </c>
      <c r="B1" s="12"/>
      <c r="C1" s="12"/>
      <c r="D1" s="12"/>
      <c r="E1" s="12"/>
      <c r="F1" s="12"/>
      <c r="G1" s="12"/>
      <c r="H1" s="12"/>
    </row>
    <row r="3" customFormat="false" ht="15" hidden="false" customHeight="true" outlineLevel="0" collapsed="false">
      <c r="B3" s="13" t="s">
        <v>143</v>
      </c>
      <c r="C3" s="13" t="s">
        <v>144</v>
      </c>
      <c r="D3" s="13" t="s">
        <v>145</v>
      </c>
      <c r="E3" s="13" t="s">
        <v>146</v>
      </c>
      <c r="F3" s="13" t="s">
        <v>147</v>
      </c>
      <c r="G3" s="13" t="s">
        <v>148</v>
      </c>
      <c r="H3" s="13" t="s">
        <v>120</v>
      </c>
    </row>
    <row r="4" customFormat="false" ht="15" hidden="false" customHeight="true" outlineLevel="0" collapsed="false">
      <c r="B4" s="13" t="s">
        <v>149</v>
      </c>
      <c r="C4" s="39"/>
      <c r="D4" s="39"/>
      <c r="E4" s="39"/>
      <c r="F4" s="39"/>
      <c r="G4" s="39"/>
      <c r="H4" s="39"/>
    </row>
    <row r="5" customFormat="false" ht="15" hidden="false" customHeight="true" outlineLevel="0" collapsed="false">
      <c r="B5" s="1" t="s">
        <v>150</v>
      </c>
      <c r="C5" s="40" t="s">
        <v>151</v>
      </c>
      <c r="D5" s="9" t="n">
        <v>200000</v>
      </c>
      <c r="E5" s="15" t="n">
        <f aca="false">IF(C5="EUR",D5*'1. Assumptions'!$C$4,D5)</f>
        <v>200000</v>
      </c>
      <c r="F5" s="16" t="n">
        <v>0.15</v>
      </c>
      <c r="G5" s="35" t="n">
        <f aca="false">E5*F5</f>
        <v>30000</v>
      </c>
      <c r="H5" s="1" t="s">
        <v>152</v>
      </c>
    </row>
    <row r="6" customFormat="false" ht="15" hidden="false" customHeight="true" outlineLevel="0" collapsed="false">
      <c r="B6" s="1" t="s">
        <v>153</v>
      </c>
      <c r="C6" s="40" t="s">
        <v>151</v>
      </c>
      <c r="D6" s="9" t="n">
        <v>928</v>
      </c>
      <c r="E6" s="15" t="n">
        <f aca="false">IF(C6="EUR",D6*'1. Assumptions'!$C$4,D6)</f>
        <v>928</v>
      </c>
      <c r="F6" s="16" t="n">
        <v>0.08</v>
      </c>
      <c r="G6" s="35" t="n">
        <f aca="false">E6*F6</f>
        <v>74.24</v>
      </c>
      <c r="H6" s="1" t="s">
        <v>154</v>
      </c>
    </row>
    <row r="7" customFormat="false" ht="15" hidden="false" customHeight="true" outlineLevel="0" collapsed="false">
      <c r="B7" s="1" t="s">
        <v>155</v>
      </c>
      <c r="C7" s="40" t="s">
        <v>156</v>
      </c>
      <c r="D7" s="41" t="n">
        <v>33284</v>
      </c>
      <c r="E7" s="15" t="n">
        <f aca="false">IF(C7="EUR",D7*'1. Assumptions'!$C$4,D7)</f>
        <v>35946.72</v>
      </c>
      <c r="F7" s="16" t="n">
        <v>0.12</v>
      </c>
      <c r="G7" s="35" t="n">
        <f aca="false">E7*F7</f>
        <v>4313.6064</v>
      </c>
      <c r="H7" s="1" t="s">
        <v>157</v>
      </c>
    </row>
    <row r="8" customFormat="false" ht="15" hidden="false" customHeight="true" outlineLevel="0" collapsed="false">
      <c r="B8" s="1" t="s">
        <v>158</v>
      </c>
      <c r="C8" s="40" t="s">
        <v>156</v>
      </c>
      <c r="D8" s="41" t="n">
        <v>54155</v>
      </c>
      <c r="E8" s="15" t="n">
        <f aca="false">IF(C8="EUR",D8*'1. Assumptions'!$C$4,D8)</f>
        <v>58487.4</v>
      </c>
      <c r="F8" s="16" t="n">
        <v>0.15</v>
      </c>
      <c r="G8" s="35" t="n">
        <f aca="false">E8*F8</f>
        <v>8773.11</v>
      </c>
      <c r="H8" s="1" t="s">
        <v>159</v>
      </c>
    </row>
    <row r="9" customFormat="false" ht="15" hidden="false" customHeight="true" outlineLevel="0" collapsed="false">
      <c r="B9" s="1" t="s">
        <v>160</v>
      </c>
      <c r="C9" s="40" t="s">
        <v>156</v>
      </c>
      <c r="D9" s="41" t="n">
        <v>7805</v>
      </c>
      <c r="E9" s="15" t="n">
        <f aca="false">IF(C9="EUR",D9*'1. Assumptions'!$C$4,D9)</f>
        <v>8429.4</v>
      </c>
      <c r="F9" s="16" t="n">
        <v>0.06</v>
      </c>
      <c r="G9" s="35" t="n">
        <f aca="false">E9*F9</f>
        <v>505.764</v>
      </c>
      <c r="H9" s="1" t="s">
        <v>161</v>
      </c>
    </row>
    <row r="10" customFormat="false" ht="15" hidden="false" customHeight="true" outlineLevel="0" collapsed="false">
      <c r="B10" s="13" t="s">
        <v>162</v>
      </c>
      <c r="C10" s="39"/>
      <c r="D10" s="39"/>
      <c r="E10" s="39"/>
      <c r="F10" s="39"/>
      <c r="G10" s="39"/>
      <c r="H10" s="39"/>
    </row>
    <row r="11" customFormat="false" ht="15" hidden="false" customHeight="true" outlineLevel="0" collapsed="false">
      <c r="B11" s="1" t="s">
        <v>163</v>
      </c>
      <c r="C11" s="40" t="s">
        <v>151</v>
      </c>
      <c r="D11" s="9" t="n">
        <v>299905</v>
      </c>
      <c r="E11" s="15" t="n">
        <f aca="false">IF(C11="EUR",D11*'1. Assumptions'!$C$4,D11)</f>
        <v>299905</v>
      </c>
      <c r="F11" s="16" t="n">
        <v>0.15</v>
      </c>
      <c r="G11" s="35" t="n">
        <f aca="false">E11*F11</f>
        <v>44985.75</v>
      </c>
      <c r="H11" s="1" t="s">
        <v>164</v>
      </c>
    </row>
    <row r="12" customFormat="false" ht="15" hidden="false" customHeight="true" outlineLevel="0" collapsed="false">
      <c r="B12" s="1" t="s">
        <v>165</v>
      </c>
      <c r="C12" s="40" t="s">
        <v>151</v>
      </c>
      <c r="D12" s="9" t="n">
        <v>15748</v>
      </c>
      <c r="E12" s="15" t="n">
        <f aca="false">IF(C12="EUR",D12*'1. Assumptions'!$C$4,D12)</f>
        <v>15748</v>
      </c>
      <c r="F12" s="16" t="n">
        <v>0</v>
      </c>
      <c r="G12" s="35" t="n">
        <f aca="false">E12*F12</f>
        <v>0</v>
      </c>
      <c r="H12" s="1" t="s">
        <v>166</v>
      </c>
    </row>
    <row r="13" customFormat="false" ht="15" hidden="false" customHeight="true" outlineLevel="0" collapsed="false">
      <c r="B13" s="1" t="s">
        <v>167</v>
      </c>
      <c r="C13" s="40" t="s">
        <v>151</v>
      </c>
      <c r="D13" s="9" t="n">
        <v>100000</v>
      </c>
      <c r="E13" s="15" t="n">
        <f aca="false">IF(C13="EUR",D13*'1. Assumptions'!$C$4,D13)</f>
        <v>100000</v>
      </c>
      <c r="F13" s="16" t="n">
        <v>0.05</v>
      </c>
      <c r="G13" s="35" t="n">
        <f aca="false">E13*F13</f>
        <v>5000</v>
      </c>
      <c r="H13" s="1" t="s">
        <v>168</v>
      </c>
    </row>
    <row r="14" customFormat="false" ht="15" hidden="false" customHeight="true" outlineLevel="0" collapsed="false">
      <c r="B14" s="1" t="s">
        <v>169</v>
      </c>
      <c r="C14" s="40" t="s">
        <v>151</v>
      </c>
      <c r="D14" s="9" t="n">
        <v>50000</v>
      </c>
      <c r="E14" s="15" t="n">
        <f aca="false">IF(C14="EUR",D14*'1. Assumptions'!$C$4,D14)</f>
        <v>50000</v>
      </c>
      <c r="F14" s="16" t="n">
        <v>0.05</v>
      </c>
      <c r="G14" s="35" t="n">
        <f aca="false">E14*F14</f>
        <v>2500</v>
      </c>
      <c r="H14" s="1" t="s">
        <v>170</v>
      </c>
    </row>
    <row r="15" customFormat="false" ht="15" hidden="false" customHeight="true" outlineLevel="0" collapsed="false">
      <c r="B15" s="1" t="s">
        <v>171</v>
      </c>
      <c r="C15" s="40" t="s">
        <v>151</v>
      </c>
      <c r="D15" s="9" t="n">
        <v>100000</v>
      </c>
      <c r="E15" s="15" t="n">
        <f aca="false">IF(C15="EUR",D15*'1. Assumptions'!$C$4,D15)</f>
        <v>100000</v>
      </c>
      <c r="F15" s="16" t="n">
        <v>0.15</v>
      </c>
      <c r="G15" s="35" t="n">
        <f aca="false">E15*F15</f>
        <v>15000</v>
      </c>
      <c r="H15" s="1" t="s">
        <v>172</v>
      </c>
    </row>
    <row r="16" customFormat="false" ht="15" hidden="false" customHeight="true" outlineLevel="0" collapsed="false">
      <c r="B16" s="1" t="s">
        <v>173</v>
      </c>
      <c r="C16" s="40" t="s">
        <v>151</v>
      </c>
      <c r="D16" s="9" t="n">
        <v>60000</v>
      </c>
      <c r="E16" s="15" t="n">
        <f aca="false">IF(C16="EUR",D16*'1. Assumptions'!$C$4,D16)</f>
        <v>60000</v>
      </c>
      <c r="F16" s="16" t="n">
        <v>0</v>
      </c>
      <c r="G16" s="35" t="n">
        <f aca="false">E16*F16</f>
        <v>0</v>
      </c>
      <c r="H16" s="1" t="s">
        <v>174</v>
      </c>
    </row>
    <row r="17" customFormat="false" ht="15" hidden="false" customHeight="true" outlineLevel="0" collapsed="false">
      <c r="B17" s="1" t="s">
        <v>175</v>
      </c>
      <c r="C17" s="40" t="s">
        <v>151</v>
      </c>
      <c r="D17" s="9" t="n">
        <v>78063</v>
      </c>
      <c r="E17" s="15" t="n">
        <f aca="false">IF(C17="EUR",D17*'1. Assumptions'!$C$4,D17)</f>
        <v>78063</v>
      </c>
      <c r="F17" s="16" t="n">
        <v>0</v>
      </c>
      <c r="G17" s="35" t="n">
        <f aca="false">E17*F17</f>
        <v>0</v>
      </c>
      <c r="H17" s="1" t="s">
        <v>176</v>
      </c>
    </row>
    <row r="18" customFormat="false" ht="15" hidden="false" customHeight="true" outlineLevel="0" collapsed="false">
      <c r="B18" s="1" t="s">
        <v>177</v>
      </c>
      <c r="C18" s="40" t="s">
        <v>151</v>
      </c>
      <c r="D18" s="9" t="n">
        <v>58384</v>
      </c>
      <c r="E18" s="15" t="n">
        <f aca="false">IF(C18="EUR",D18*'1. Assumptions'!$C$4,D18)</f>
        <v>58384</v>
      </c>
      <c r="F18" s="16" t="n">
        <v>0.08</v>
      </c>
      <c r="G18" s="35" t="n">
        <f aca="false">E18*F18</f>
        <v>4670.72</v>
      </c>
      <c r="H18" s="1" t="s">
        <v>178</v>
      </c>
    </row>
    <row r="19" customFormat="false" ht="15" hidden="false" customHeight="true" outlineLevel="0" collapsed="false">
      <c r="B19" s="1" t="s">
        <v>179</v>
      </c>
      <c r="C19" s="40" t="s">
        <v>156</v>
      </c>
      <c r="D19" s="41" t="n">
        <v>60508</v>
      </c>
      <c r="E19" s="15" t="n">
        <f aca="false">IF(C19="EUR",D19*'1. Assumptions'!$C$4,D19)</f>
        <v>65348.64</v>
      </c>
      <c r="F19" s="16" t="n">
        <v>0.12</v>
      </c>
      <c r="G19" s="35" t="n">
        <f aca="false">E19*F19</f>
        <v>7841.8368</v>
      </c>
      <c r="H19" s="1" t="s">
        <v>178</v>
      </c>
    </row>
    <row r="20" customFormat="false" ht="15" hidden="false" customHeight="true" outlineLevel="0" collapsed="false">
      <c r="B20" s="19" t="s">
        <v>180</v>
      </c>
      <c r="C20" s="30"/>
      <c r="D20" s="30"/>
      <c r="E20" s="42" t="n">
        <f aca="false">SUMIF(C4:C19,"USD",E4:E19)+SUMIF(C4:C19,"EUR",E4:E19)</f>
        <v>1131240.16</v>
      </c>
      <c r="F20" s="30"/>
      <c r="G20" s="28" t="n">
        <f aca="false">SUM(G4:G19)</f>
        <v>123665.0272</v>
      </c>
      <c r="H20" s="30"/>
    </row>
    <row r="22" customFormat="false" ht="15" hidden="false" customHeight="true" outlineLevel="0" collapsed="false">
      <c r="B22" s="1" t="s">
        <v>181</v>
      </c>
      <c r="D22" s="9" t="n">
        <v>225205</v>
      </c>
      <c r="H22" s="1" t="s">
        <v>182</v>
      </c>
    </row>
    <row r="24" customFormat="false" ht="15" hidden="false" customHeight="true" outlineLevel="0" collapsed="false">
      <c r="B24" s="13" t="s">
        <v>183</v>
      </c>
      <c r="C24" s="39"/>
      <c r="D24" s="39"/>
      <c r="E24" s="39"/>
      <c r="F24" s="39"/>
      <c r="G24" s="39"/>
      <c r="H24" s="39"/>
    </row>
    <row r="25" customFormat="false" ht="15" hidden="false" customHeight="true" outlineLevel="0" collapsed="false">
      <c r="B25" s="1" t="s">
        <v>184</v>
      </c>
      <c r="C25" s="1" t="s">
        <v>151</v>
      </c>
      <c r="D25" s="10" t="n">
        <f aca="false">'1. Assumptions'!C8</f>
        <v>2000000</v>
      </c>
      <c r="E25" s="35" t="n">
        <f aca="false">D25</f>
        <v>2000000</v>
      </c>
      <c r="F25" s="43" t="n">
        <f aca="false">'1. Assumptions'!C13</f>
        <v>0.12</v>
      </c>
      <c r="G25" s="35" t="n">
        <f aca="false">E25*F25</f>
        <v>240000</v>
      </c>
      <c r="H25" s="1" t="s">
        <v>185</v>
      </c>
    </row>
    <row r="27" customFormat="false" ht="15" hidden="false" customHeight="true" outlineLevel="0" collapsed="false">
      <c r="B27" s="44" t="s">
        <v>186</v>
      </c>
      <c r="C27" s="44"/>
      <c r="D27" s="44"/>
      <c r="E27" s="45" t="n">
        <f aca="false">E20+E25</f>
        <v>3131240.16</v>
      </c>
      <c r="F27" s="44"/>
      <c r="G27" s="45" t="n">
        <f aca="false">G20+G25</f>
        <v>363665.0272</v>
      </c>
      <c r="H27" s="44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8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5" min="5" style="1" width="38"/>
  </cols>
  <sheetData>
    <row r="1" customFormat="false" ht="15" hidden="false" customHeight="true" outlineLevel="0" collapsed="false">
      <c r="A1" s="12" t="s">
        <v>187</v>
      </c>
      <c r="B1" s="12"/>
      <c r="C1" s="12"/>
      <c r="D1" s="12"/>
      <c r="E1" s="12"/>
    </row>
    <row r="3" customFormat="false" ht="15" hidden="false" customHeight="true" outlineLevel="0" collapsed="false">
      <c r="B3" s="13" t="s">
        <v>188</v>
      </c>
      <c r="C3" s="39"/>
      <c r="D3" s="39"/>
    </row>
    <row r="4" customFormat="false" ht="15" hidden="false" customHeight="true" outlineLevel="0" collapsed="false">
      <c r="B4" s="1" t="s">
        <v>189</v>
      </c>
      <c r="C4" s="10" t="n">
        <f aca="false">'1. Assumptions'!C8</f>
        <v>2000000</v>
      </c>
      <c r="D4" s="27" t="n">
        <f aca="false">C4/C8</f>
        <v>0.833333333333333</v>
      </c>
    </row>
    <row r="5" customFormat="false" ht="15" hidden="false" customHeight="true" outlineLevel="0" collapsed="false">
      <c r="B5" s="1" t="s">
        <v>190</v>
      </c>
      <c r="C5" s="9" t="n">
        <v>400000</v>
      </c>
      <c r="D5" s="27" t="n">
        <f aca="false">C5/C8</f>
        <v>0.166666666666667</v>
      </c>
      <c r="E5" s="1" t="s">
        <v>191</v>
      </c>
    </row>
    <row r="6" customFormat="false" ht="15" hidden="false" customHeight="true" outlineLevel="0" collapsed="false">
      <c r="B6" s="1" t="s">
        <v>192</v>
      </c>
      <c r="C6" s="9" t="n">
        <v>0</v>
      </c>
      <c r="D6" s="27" t="n">
        <f aca="false">C6/C8</f>
        <v>0</v>
      </c>
      <c r="E6" s="1" t="s">
        <v>193</v>
      </c>
    </row>
    <row r="8" customFormat="false" ht="15" hidden="false" customHeight="true" outlineLevel="0" collapsed="false">
      <c r="B8" s="19" t="s">
        <v>194</v>
      </c>
      <c r="C8" s="42" t="n">
        <f aca="false">SUM(C4:C7)</f>
        <v>2400000</v>
      </c>
      <c r="D8" s="29" t="n">
        <f aca="false">SUM(D4:D7)</f>
        <v>1</v>
      </c>
      <c r="E8" s="30"/>
    </row>
    <row r="11" customFormat="false" ht="15" hidden="false" customHeight="true" outlineLevel="0" collapsed="false">
      <c r="B11" s="13" t="s">
        <v>195</v>
      </c>
      <c r="C11" s="39"/>
      <c r="D11" s="39"/>
    </row>
    <row r="12" customFormat="false" ht="15" hidden="false" customHeight="true" outlineLevel="0" collapsed="false">
      <c r="B12" s="1" t="s">
        <v>196</v>
      </c>
      <c r="C12" s="10" t="n">
        <f aca="false">'1. Assumptions'!C7</f>
        <v>2400000</v>
      </c>
      <c r="D12" s="27" t="n">
        <f aca="false">C12/C16</f>
        <v>1</v>
      </c>
    </row>
    <row r="13" customFormat="false" ht="15" hidden="false" customHeight="true" outlineLevel="0" collapsed="false">
      <c r="B13" s="1" t="s">
        <v>197</v>
      </c>
      <c r="C13" s="35" t="n">
        <f aca="false">C12*0.03</f>
        <v>72000</v>
      </c>
      <c r="D13" s="27" t="n">
        <f aca="false">C13/C16</f>
        <v>0.03</v>
      </c>
    </row>
    <row r="14" customFormat="false" ht="15" hidden="false" customHeight="true" outlineLevel="0" collapsed="false">
      <c r="B14" s="1" t="s">
        <v>198</v>
      </c>
      <c r="C14" s="9" t="n">
        <v>100000</v>
      </c>
      <c r="D14" s="27" t="n">
        <f aca="false">C14/C16</f>
        <v>0.0416666666666667</v>
      </c>
    </row>
    <row r="15" customFormat="false" ht="15" hidden="false" customHeight="true" outlineLevel="0" collapsed="false">
      <c r="B15" s="1" t="s">
        <v>199</v>
      </c>
      <c r="C15" s="35" t="n">
        <f aca="false">C8-C12-C13-C14</f>
        <v>-172000</v>
      </c>
      <c r="D15" s="27" t="n">
        <f aca="false">C15/C16</f>
        <v>-0.0716666666666667</v>
      </c>
      <c r="E15" s="1" t="s">
        <v>200</v>
      </c>
    </row>
    <row r="16" customFormat="false" ht="15" hidden="false" customHeight="true" outlineLevel="0" collapsed="false">
      <c r="B16" s="19" t="s">
        <v>201</v>
      </c>
      <c r="C16" s="42" t="n">
        <f aca="false">SUM(C12:C15)</f>
        <v>2400000</v>
      </c>
      <c r="D16" s="29" t="n">
        <f aca="false">SUM(D12:D15)</f>
        <v>1</v>
      </c>
      <c r="E16" s="30"/>
    </row>
    <row r="18" customFormat="false" ht="15" hidden="false" customHeight="true" outlineLevel="0" collapsed="false">
      <c r="B18" s="1" t="s">
        <v>202</v>
      </c>
      <c r="C18" s="46" t="n">
        <f aca="false">C8-C16</f>
        <v>0</v>
      </c>
      <c r="E18" s="1" t="s">
        <v>203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2"/>
    <col collapsed="false" customWidth="true" hidden="false" outlineLevel="0" max="5" min="3" style="1" width="18"/>
    <col collapsed="false" customWidth="true" hidden="false" outlineLevel="0" max="6" min="6" style="1" width="30"/>
  </cols>
  <sheetData>
    <row r="1" customFormat="false" ht="15" hidden="false" customHeight="true" outlineLevel="0" collapsed="false">
      <c r="A1" s="12" t="s">
        <v>204</v>
      </c>
      <c r="B1" s="12"/>
      <c r="C1" s="12"/>
      <c r="D1" s="12"/>
      <c r="E1" s="12"/>
      <c r="F1" s="12"/>
    </row>
    <row r="3" customFormat="false" ht="15" hidden="false" customHeight="true" outlineLevel="0" collapsed="false">
      <c r="B3" s="13"/>
      <c r="C3" s="13" t="s">
        <v>205</v>
      </c>
      <c r="D3" s="13" t="s">
        <v>206</v>
      </c>
      <c r="E3" s="13" t="s">
        <v>207</v>
      </c>
      <c r="F3" s="13" t="s">
        <v>120</v>
      </c>
    </row>
    <row r="4" customFormat="false" ht="15" hidden="false" customHeight="true" outlineLevel="0" collapsed="false">
      <c r="B4" s="1" t="s">
        <v>208</v>
      </c>
      <c r="C4" s="10" t="n">
        <f aca="false">'2. Capitaliply P&amp;L'!E13</f>
        <v>406822.04</v>
      </c>
      <c r="D4" s="35" t="n">
        <f aca="false">C4-'2. Capitaliply P&amp;L'!E36*'1. Assumptions'!$C$36</f>
        <v>406822.04</v>
      </c>
      <c r="E4" s="35" t="n">
        <f aca="false">D4*0.9</f>
        <v>366139.836</v>
      </c>
    </row>
    <row r="5" customFormat="false" ht="15" hidden="false" customHeight="true" outlineLevel="0" collapsed="false">
      <c r="B5" s="1" t="s">
        <v>209</v>
      </c>
      <c r="C5" s="10" t="n">
        <f aca="false">'3. Target P&amp;L'!C9</f>
        <v>680541</v>
      </c>
      <c r="D5" s="35" t="n">
        <f aca="false">'3. Target P&amp;L'!D15</f>
        <v>533002.95</v>
      </c>
      <c r="E5" s="35" t="n">
        <f aca="false">D5*0.9</f>
        <v>479702.655</v>
      </c>
    </row>
    <row r="6" customFormat="false" ht="15" hidden="false" customHeight="true" outlineLevel="0" collapsed="false">
      <c r="B6" s="19" t="s">
        <v>210</v>
      </c>
      <c r="C6" s="42" t="n">
        <f aca="false">SUM(C4:C5)</f>
        <v>1087363.04</v>
      </c>
      <c r="D6" s="42" t="n">
        <f aca="false">SUM(D4:D5)</f>
        <v>939824.99</v>
      </c>
      <c r="E6" s="42" t="n">
        <f aca="false">SUM(E4:E5)</f>
        <v>845842.491</v>
      </c>
      <c r="F6" s="30"/>
    </row>
    <row r="9" customFormat="false" ht="15" hidden="false" customHeight="true" outlineLevel="0" collapsed="false">
      <c r="B9" s="13" t="s">
        <v>211</v>
      </c>
      <c r="C9" s="39"/>
      <c r="D9" s="39"/>
      <c r="E9" s="39"/>
      <c r="F9" s="39"/>
    </row>
    <row r="10" customFormat="false" ht="15" hidden="false" customHeight="true" outlineLevel="0" collapsed="false">
      <c r="B10" s="1" t="s">
        <v>212</v>
      </c>
      <c r="C10" s="9" t="n">
        <v>672579</v>
      </c>
      <c r="D10" s="35" t="n">
        <f aca="false">C10</f>
        <v>672579</v>
      </c>
      <c r="E10" s="35" t="n">
        <f aca="false">C10</f>
        <v>672579</v>
      </c>
      <c r="F10" s="1" t="s">
        <v>213</v>
      </c>
    </row>
    <row r="11" customFormat="false" ht="15" hidden="false" customHeight="true" outlineLevel="0" collapsed="false">
      <c r="B11" s="1" t="s">
        <v>214</v>
      </c>
      <c r="C11" s="15" t="n">
        <f aca="false">-PMT('1. Assumptions'!C13/12,'1. Assumptions'!C14*12,'1. Assumptions'!C8)*12</f>
        <v>423665.587129772</v>
      </c>
      <c r="D11" s="35" t="n">
        <f aca="false">C11</f>
        <v>423665.587129772</v>
      </c>
      <c r="E11" s="35" t="n">
        <f aca="false">C11</f>
        <v>423665.587129772</v>
      </c>
      <c r="F11" s="1" t="s">
        <v>215</v>
      </c>
    </row>
    <row r="12" customFormat="false" ht="15" hidden="false" customHeight="true" outlineLevel="0" collapsed="false">
      <c r="B12" s="19" t="s">
        <v>216</v>
      </c>
      <c r="C12" s="42" t="n">
        <f aca="false">SUM(C10:C11)</f>
        <v>1096244.58712977</v>
      </c>
      <c r="D12" s="42" t="n">
        <f aca="false">SUM(D10:D11)</f>
        <v>1096244.58712977</v>
      </c>
      <c r="E12" s="42" t="n">
        <f aca="false">SUM(E10:E11)</f>
        <v>1096244.58712977</v>
      </c>
      <c r="F12" s="30"/>
    </row>
    <row r="15" customFormat="false" ht="15" hidden="false" customHeight="true" outlineLevel="0" collapsed="false">
      <c r="B15" s="13" t="s">
        <v>217</v>
      </c>
      <c r="C15" s="39"/>
      <c r="D15" s="39"/>
      <c r="E15" s="39"/>
      <c r="F15" s="39"/>
    </row>
    <row r="16" customFormat="false" ht="15" hidden="false" customHeight="true" outlineLevel="0" collapsed="false">
      <c r="B16" s="6" t="s">
        <v>218</v>
      </c>
      <c r="C16" s="11" t="n">
        <f aca="false">C6/C12</f>
        <v>0.991898206628298</v>
      </c>
      <c r="D16" s="11" t="n">
        <f aca="false">D6/D12</f>
        <v>0.857313231950075</v>
      </c>
      <c r="E16" s="11" t="n">
        <f aca="false">E6/E12</f>
        <v>0.771581908755067</v>
      </c>
      <c r="F16" s="1" t="s">
        <v>219</v>
      </c>
    </row>
    <row r="17" customFormat="false" ht="15" hidden="false" customHeight="true" outlineLevel="0" collapsed="false">
      <c r="B17" s="1" t="s">
        <v>220</v>
      </c>
      <c r="C17" s="47" t="str">
        <f aca="false">IF(C16&gt;=1.25,"✓ PASS","✗ FAIL")</f>
        <v>✗ FAIL</v>
      </c>
      <c r="D17" s="47" t="str">
        <f aca="false">IF(D16&gt;=1.25,"✓ PASS","✗ FAIL")</f>
        <v>✗ FAIL</v>
      </c>
      <c r="E17" s="47" t="str">
        <f aca="false">IF(E16&gt;=1.25,"✓ PASS","✗ FAIL")</f>
        <v>✗ FAIL</v>
      </c>
    </row>
    <row r="20" customFormat="false" ht="15" hidden="false" customHeight="true" outlineLevel="0" collapsed="false">
      <c r="B20" s="13" t="s">
        <v>221</v>
      </c>
      <c r="C20" s="39"/>
      <c r="D20" s="39"/>
      <c r="E20" s="39"/>
      <c r="F20" s="39"/>
    </row>
    <row r="21" customFormat="false" ht="15" hidden="false" customHeight="true" outlineLevel="0" collapsed="false">
      <c r="B21" s="1" t="s">
        <v>222</v>
      </c>
      <c r="C21" s="10" t="n">
        <f aca="false">'4. Debt Stack'!E27</f>
        <v>3131240.16</v>
      </c>
      <c r="D21" s="35" t="n">
        <f aca="false">C21</f>
        <v>3131240.16</v>
      </c>
      <c r="E21" s="35" t="n">
        <f aca="false">C21</f>
        <v>3131240.16</v>
      </c>
    </row>
    <row r="22" customFormat="false" ht="15" hidden="false" customHeight="true" outlineLevel="0" collapsed="false">
      <c r="B22" s="1" t="s">
        <v>29</v>
      </c>
      <c r="C22" s="48" t="n">
        <f aca="false">C21/C6</f>
        <v>2.8796639620931</v>
      </c>
      <c r="D22" s="48" t="n">
        <f aca="false">D21/D6</f>
        <v>3.33172685693323</v>
      </c>
      <c r="E22" s="48" t="n">
        <f aca="false">E21/E6</f>
        <v>3.70191872992581</v>
      </c>
      <c r="F22" s="1" t="s">
        <v>223</v>
      </c>
    </row>
    <row r="23" customFormat="false" ht="15" hidden="false" customHeight="true" outlineLevel="0" collapsed="false">
      <c r="B23" s="1" t="s">
        <v>224</v>
      </c>
      <c r="C23" s="49" t="n">
        <f aca="false">C6/('4. Debt Stack'!G27)</f>
        <v>2.99001267284907</v>
      </c>
      <c r="D23" s="48" t="n">
        <f aca="false">D6/('4. Debt Stack'!G27)</f>
        <v>2.58431501438585</v>
      </c>
      <c r="E23" s="48" t="n">
        <f aca="false">E6/('4. Debt Stack'!G27)</f>
        <v>2.32588351294727</v>
      </c>
      <c r="F23" s="1" t="s">
        <v>225</v>
      </c>
    </row>
    <row r="26" customFormat="false" ht="15" hidden="false" customHeight="true" outlineLevel="0" collapsed="false">
      <c r="B26" s="50" t="s">
        <v>226</v>
      </c>
      <c r="C26" s="51"/>
      <c r="D26" s="51"/>
      <c r="E26" s="51"/>
      <c r="F26" s="51"/>
    </row>
    <row r="27" customFormat="false" ht="15" hidden="false" customHeight="true" outlineLevel="0" collapsed="false">
      <c r="B27" s="1" t="s">
        <v>227</v>
      </c>
      <c r="C27" s="1" t="str">
        <f aca="false">IF(C16&gt;=1.25,"✓ Bankable","⚠ Marginal (covenant tight)")</f>
        <v>⚠ Marginal (covenant tight)</v>
      </c>
    </row>
    <row r="28" customFormat="false" ht="15" hidden="false" customHeight="true" outlineLevel="0" collapsed="false">
      <c r="B28" s="1" t="s">
        <v>228</v>
      </c>
      <c r="C28" s="1" t="str">
        <f aca="false">IF(D16&gt;=1.25,"✓ Bankable","✗ Does NOT cover debt service")</f>
        <v>✗ Does NOT cover debt service</v>
      </c>
    </row>
    <row r="29" customFormat="false" ht="15" hidden="false" customHeight="true" outlineLevel="0" collapsed="false">
      <c r="B29" s="1" t="s">
        <v>229</v>
      </c>
      <c r="C29" s="1" t="str">
        <f aca="false">IF(E16&gt;=1.25,"✓ Bankable","✗ DISTRESSED — default scenario")</f>
        <v>✗ DISTRESSED — default scenario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8"/>
    <col collapsed="false" customWidth="true" hidden="false" outlineLevel="0" max="5" min="3" style="1" width="16"/>
    <col collapsed="false" customWidth="true" hidden="false" outlineLevel="0" max="6" min="6" style="1" width="30"/>
  </cols>
  <sheetData>
    <row r="1" customFormat="false" ht="15" hidden="false" customHeight="true" outlineLevel="0" collapsed="false">
      <c r="A1" s="12" t="s">
        <v>230</v>
      </c>
      <c r="B1" s="12"/>
      <c r="C1" s="12"/>
      <c r="D1" s="12"/>
      <c r="E1" s="12"/>
      <c r="F1" s="12"/>
    </row>
    <row r="3" customFormat="false" ht="15" hidden="false" customHeight="true" outlineLevel="0" collapsed="false">
      <c r="B3" s="13"/>
      <c r="C3" s="13" t="s">
        <v>231</v>
      </c>
      <c r="D3" s="13" t="s">
        <v>232</v>
      </c>
      <c r="E3" s="13" t="s">
        <v>233</v>
      </c>
      <c r="F3" s="13" t="s">
        <v>234</v>
      </c>
    </row>
    <row r="4" customFormat="false" ht="15" hidden="false" customHeight="true" outlineLevel="0" collapsed="false">
      <c r="B4" s="1" t="s">
        <v>235</v>
      </c>
      <c r="C4" s="35" t="n">
        <f aca="false">'3. Target P&amp;L'!C6*'1. Assumptions'!C19</f>
        <v>1613082</v>
      </c>
      <c r="D4" s="35" t="n">
        <f aca="false">'3. Target P&amp;L'!C6*('1. Assumptions'!C19+'1. Assumptions'!D19)/2</f>
        <v>2419623</v>
      </c>
      <c r="E4" s="35" t="n">
        <f aca="false">'3. Target P&amp;L'!C6*'1. Assumptions'!D19</f>
        <v>3226164</v>
      </c>
      <c r="F4" s="1" t="s">
        <v>236</v>
      </c>
    </row>
    <row r="5" customFormat="false" ht="15" hidden="false" customHeight="true" outlineLevel="0" collapsed="false">
      <c r="B5" s="1" t="s">
        <v>237</v>
      </c>
      <c r="C5" s="35" t="n">
        <f aca="false">'3. Target P&amp;L'!C4*'1. Assumptions'!C20</f>
        <v>1475380.5</v>
      </c>
      <c r="D5" s="35" t="n">
        <f aca="false">'3. Target P&amp;L'!C4*('1. Assumptions'!C20+'1. Assumptions'!D20)/2</f>
        <v>2213070.75</v>
      </c>
      <c r="E5" s="35" t="n">
        <f aca="false">'3. Target P&amp;L'!C4*'1. Assumptions'!D20</f>
        <v>2950761</v>
      </c>
      <c r="F5" s="1" t="s">
        <v>238</v>
      </c>
    </row>
    <row r="6" customFormat="false" ht="15" hidden="false" customHeight="true" outlineLevel="0" collapsed="false">
      <c r="B6" s="1" t="s">
        <v>239</v>
      </c>
      <c r="C6" s="35" t="n">
        <f aca="false">'3. Target P&amp;L'!C9*'1. Assumptions'!C21</f>
        <v>2041623</v>
      </c>
      <c r="D6" s="35" t="n">
        <f aca="false">'3. Target P&amp;L'!C9*('1. Assumptions'!C21+'1. Assumptions'!D21)/2</f>
        <v>2722164</v>
      </c>
      <c r="E6" s="35" t="n">
        <f aca="false">'3. Target P&amp;L'!C9*'1. Assumptions'!D21</f>
        <v>3402705</v>
      </c>
      <c r="F6" s="1" t="s">
        <v>240</v>
      </c>
    </row>
    <row r="7" customFormat="false" ht="15" hidden="false" customHeight="true" outlineLevel="0" collapsed="false">
      <c r="B7" s="1" t="s">
        <v>241</v>
      </c>
      <c r="C7" s="35" t="n">
        <f aca="false">PV('1. Assumptions'!C26,'1. Assumptions'!C28,-'3. Target P&amp;L'!C9,0,0)+('3. Target P&amp;L'!C9/'1. Assumptions'!C26)/(1+'1. Assumptions'!C26)^'1. Assumptions'!C28</f>
        <v>4861007.14285714</v>
      </c>
      <c r="D7" s="35" t="n">
        <f aca="false">C7</f>
        <v>4861007.14285714</v>
      </c>
      <c r="E7" s="35" t="n">
        <f aca="false">C7*1.2</f>
        <v>5833208.57142857</v>
      </c>
      <c r="F7" s="1" t="s">
        <v>242</v>
      </c>
    </row>
    <row r="8" customFormat="false" ht="15" hidden="false" customHeight="true" outlineLevel="0" collapsed="false">
      <c r="B8" s="1" t="s">
        <v>243</v>
      </c>
      <c r="C8" s="35" t="n">
        <f aca="false">PV('1. Assumptions'!C26,'1. Assumptions'!C28,-'3. Target P&amp;L'!D15,0,0)+('3. Target P&amp;L'!D15/'1. Assumptions'!C26)/(1+'1. Assumptions'!C26)^'1. Assumptions'!C28</f>
        <v>3807163.92857143</v>
      </c>
      <c r="D8" s="35" t="n">
        <f aca="false">C8</f>
        <v>3807163.92857143</v>
      </c>
      <c r="E8" s="35" t="n">
        <f aca="false">C8</f>
        <v>3807163.92857143</v>
      </c>
      <c r="F8" s="1" t="s">
        <v>244</v>
      </c>
    </row>
    <row r="11" customFormat="false" ht="15" hidden="false" customHeight="true" outlineLevel="0" collapsed="false">
      <c r="B11" s="13" t="s">
        <v>245</v>
      </c>
      <c r="C11" s="39"/>
      <c r="D11" s="39"/>
      <c r="E11" s="39"/>
      <c r="F11" s="39"/>
    </row>
    <row r="12" customFormat="false" ht="15" hidden="false" customHeight="true" outlineLevel="0" collapsed="false">
      <c r="B12" s="1" t="s">
        <v>246</v>
      </c>
      <c r="C12" s="35" t="n">
        <f aca="false">MIN(C4:C8)</f>
        <v>1475380.5</v>
      </c>
      <c r="D12" s="35" t="n">
        <f aca="false">AVERAGE(C4:C6)</f>
        <v>1710028.5</v>
      </c>
    </row>
    <row r="13" customFormat="false" ht="15" hidden="false" customHeight="true" outlineLevel="0" collapsed="false">
      <c r="B13" s="1" t="s">
        <v>247</v>
      </c>
      <c r="C13" s="35" t="n">
        <f aca="false">AVERAGE(C4:C6)</f>
        <v>1710028.5</v>
      </c>
      <c r="D13" s="35" t="n">
        <f aca="false">AVERAGE(D4:D6)</f>
        <v>2451619.25</v>
      </c>
      <c r="E13" s="35" t="n">
        <f aca="false">AVERAGE(E4:E6)</f>
        <v>3193210</v>
      </c>
    </row>
    <row r="14" customFormat="false" ht="15" hidden="false" customHeight="true" outlineLevel="0" collapsed="false">
      <c r="B14" s="1" t="s">
        <v>248</v>
      </c>
      <c r="C14" s="35" t="n">
        <f aca="false">D13*1.15</f>
        <v>2819362.1375</v>
      </c>
      <c r="D14" s="35" t="n">
        <f aca="false">D13*1.25</f>
        <v>3064524.0625</v>
      </c>
      <c r="E14" s="35" t="n">
        <f aca="false">E13*1.3</f>
        <v>4151173</v>
      </c>
    </row>
    <row r="16" customFormat="false" ht="15" hidden="false" customHeight="true" outlineLevel="0" collapsed="false">
      <c r="B16" s="6" t="s">
        <v>249</v>
      </c>
      <c r="C16" s="9" t="n">
        <v>2000000</v>
      </c>
      <c r="D16" s="8" t="n">
        <v>2400000</v>
      </c>
      <c r="E16" s="9" t="n">
        <v>2400000</v>
      </c>
      <c r="F16" s="1" t="s">
        <v>250</v>
      </c>
    </row>
    <row r="17" customFormat="false" ht="15" hidden="false" customHeight="true" outlineLevel="0" collapsed="false">
      <c r="B17" s="1" t="s">
        <v>251</v>
      </c>
      <c r="C17" s="48" t="n">
        <f aca="false">D16/'3. Target P&amp;L'!C9</f>
        <v>3.52660603843119</v>
      </c>
      <c r="F17" s="1" t="s">
        <v>252</v>
      </c>
    </row>
    <row r="18" customFormat="false" ht="15" hidden="false" customHeight="true" outlineLevel="0" collapsed="false">
      <c r="B18" s="1" t="s">
        <v>253</v>
      </c>
      <c r="C18" s="48" t="n">
        <f aca="false">D16/'3. Target P&amp;L'!C6</f>
        <v>2.97567017671761</v>
      </c>
      <c r="F18" s="1" t="s">
        <v>254</v>
      </c>
    </row>
    <row r="20" customFormat="false" ht="15" hidden="false" customHeight="true" outlineLevel="0" collapsed="false">
      <c r="B20" s="52" t="s">
        <v>255</v>
      </c>
      <c r="C20" s="53" t="s">
        <v>256</v>
      </c>
      <c r="D20" s="53"/>
      <c r="E20" s="53"/>
      <c r="F20" s="53"/>
    </row>
  </sheetData>
  <mergeCells count="2">
    <mergeCell ref="A1:F1"/>
    <mergeCell ref="C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2"/>
    <col collapsed="false" customWidth="true" hidden="false" outlineLevel="0" max="5" min="3" style="1" width="16"/>
    <col collapsed="false" customWidth="true" hidden="false" outlineLevel="0" max="6" min="6" style="1" width="30"/>
  </cols>
  <sheetData>
    <row r="1" customFormat="false" ht="15" hidden="false" customHeight="true" outlineLevel="0" collapsed="false">
      <c r="A1" s="12" t="s">
        <v>257</v>
      </c>
      <c r="B1" s="12"/>
      <c r="C1" s="12"/>
      <c r="D1" s="12"/>
      <c r="E1" s="12"/>
      <c r="F1" s="12"/>
    </row>
    <row r="3" customFormat="false" ht="15" hidden="false" customHeight="true" outlineLevel="0" collapsed="false">
      <c r="B3" s="13" t="s">
        <v>258</v>
      </c>
      <c r="C3" s="39"/>
      <c r="D3" s="39"/>
      <c r="E3" s="39"/>
      <c r="F3" s="39"/>
    </row>
    <row r="4" customFormat="false" ht="15" hidden="false" customHeight="true" outlineLevel="0" collapsed="false">
      <c r="B4" s="1" t="s">
        <v>259</v>
      </c>
      <c r="C4" s="10" t="n">
        <f aca="false">'7. Valuation FF'!D13</f>
        <v>2451619.25</v>
      </c>
    </row>
    <row r="5" customFormat="false" ht="15" hidden="false" customHeight="true" outlineLevel="0" collapsed="false">
      <c r="B5" s="1" t="s">
        <v>260</v>
      </c>
      <c r="C5" s="10" t="n">
        <f aca="false">-'1. Assumptions'!C8</f>
        <v>-2000000</v>
      </c>
    </row>
    <row r="6" customFormat="false" ht="15" hidden="false" customHeight="true" outlineLevel="0" collapsed="false">
      <c r="B6" s="1" t="s">
        <v>261</v>
      </c>
      <c r="C6" s="46" t="n">
        <f aca="false">C4+C5</f>
        <v>451619.25</v>
      </c>
    </row>
    <row r="7" customFormat="false" ht="15" hidden="false" customHeight="true" outlineLevel="0" collapsed="false">
      <c r="B7" s="1" t="s">
        <v>262</v>
      </c>
      <c r="C7" s="9" t="n">
        <v>500000</v>
      </c>
    </row>
    <row r="8" customFormat="false" ht="15" hidden="false" customHeight="true" outlineLevel="0" collapsed="false">
      <c r="B8" s="30" t="s">
        <v>263</v>
      </c>
      <c r="C8" s="42" t="n">
        <f aca="false">C6+C7</f>
        <v>951619.25</v>
      </c>
      <c r="D8" s="30"/>
      <c r="E8" s="30"/>
      <c r="F8" s="30"/>
    </row>
    <row r="9" customFormat="false" ht="15" hidden="false" customHeight="true" outlineLevel="0" collapsed="false">
      <c r="B9" s="6" t="s">
        <v>264</v>
      </c>
      <c r="C9" s="54" t="n">
        <f aca="false">C7/C8</f>
        <v>0.525420224527825</v>
      </c>
      <c r="F9" s="1" t="s">
        <v>265</v>
      </c>
    </row>
    <row r="12" customFormat="false" ht="15" hidden="false" customHeight="true" outlineLevel="0" collapsed="false">
      <c r="B12" s="13" t="s">
        <v>266</v>
      </c>
      <c r="C12" s="39"/>
      <c r="D12" s="39"/>
      <c r="E12" s="39"/>
      <c r="F12" s="39"/>
    </row>
    <row r="13" customFormat="false" ht="15" hidden="false" customHeight="true" outlineLevel="0" collapsed="false">
      <c r="C13" s="19" t="s">
        <v>267</v>
      </c>
      <c r="D13" s="19" t="s">
        <v>268</v>
      </c>
      <c r="E13" s="19" t="s">
        <v>269</v>
      </c>
    </row>
    <row r="14" customFormat="false" ht="15" hidden="false" customHeight="true" outlineLevel="0" collapsed="false">
      <c r="B14" s="1" t="s">
        <v>270</v>
      </c>
      <c r="C14" s="10" t="n">
        <f aca="false">'6. DSCR &amp; Leverage'!C6</f>
        <v>1087363.04</v>
      </c>
      <c r="D14" s="35" t="n">
        <f aca="false">C14</f>
        <v>1087363.04</v>
      </c>
      <c r="E14" s="35" t="n">
        <f aca="false">C14</f>
        <v>1087363.04</v>
      </c>
    </row>
    <row r="15" customFormat="false" ht="15" hidden="false" customHeight="true" outlineLevel="0" collapsed="false">
      <c r="B15" s="1" t="s">
        <v>271</v>
      </c>
      <c r="C15" s="35" t="n">
        <f aca="false">C14*4</f>
        <v>4349452.16</v>
      </c>
      <c r="D15" s="35" t="n">
        <f aca="false">D14*5</f>
        <v>5436815.2</v>
      </c>
      <c r="E15" s="35" t="n">
        <f aca="false">E14*6</f>
        <v>6524178.24</v>
      </c>
    </row>
    <row r="16" customFormat="false" ht="15" hidden="false" customHeight="true" outlineLevel="0" collapsed="false">
      <c r="B16" s="1" t="s">
        <v>272</v>
      </c>
      <c r="C16" s="10" t="n">
        <f aca="false">-'4. Debt Stack'!E27</f>
        <v>-3131240.16</v>
      </c>
      <c r="D16" s="35" t="n">
        <f aca="false">C16</f>
        <v>-3131240.16</v>
      </c>
      <c r="E16" s="35" t="n">
        <f aca="false">C16</f>
        <v>-3131240.16</v>
      </c>
    </row>
    <row r="17" customFormat="false" ht="15" hidden="false" customHeight="true" outlineLevel="0" collapsed="false">
      <c r="B17" s="1" t="s">
        <v>273</v>
      </c>
      <c r="C17" s="35" t="n">
        <f aca="false">C15+C16</f>
        <v>1218212</v>
      </c>
      <c r="D17" s="35" t="n">
        <f aca="false">D15+D16</f>
        <v>2305575.04</v>
      </c>
      <c r="E17" s="35" t="n">
        <f aca="false">E15+E16</f>
        <v>3392938.08</v>
      </c>
    </row>
    <row r="18" customFormat="false" ht="15" hidden="false" customHeight="true" outlineLevel="0" collapsed="false">
      <c r="B18" s="1" t="s">
        <v>274</v>
      </c>
      <c r="C18" s="9" t="n">
        <v>500000</v>
      </c>
      <c r="D18" s="9" t="n">
        <v>500000</v>
      </c>
      <c r="E18" s="9" t="n">
        <v>500000</v>
      </c>
    </row>
    <row r="19" customFormat="false" ht="15" hidden="false" customHeight="true" outlineLevel="0" collapsed="false">
      <c r="B19" s="30" t="s">
        <v>275</v>
      </c>
      <c r="C19" s="28" t="n">
        <f aca="false">C17+C18</f>
        <v>1718212</v>
      </c>
      <c r="D19" s="28" t="n">
        <f aca="false">D17+D18</f>
        <v>2805575.04</v>
      </c>
      <c r="E19" s="28" t="n">
        <f aca="false">E17+E18</f>
        <v>3892938.08</v>
      </c>
      <c r="F19" s="30"/>
    </row>
    <row r="20" customFormat="false" ht="15" hidden="false" customHeight="true" outlineLevel="0" collapsed="false">
      <c r="B20" s="6" t="s">
        <v>276</v>
      </c>
      <c r="C20" s="54" t="n">
        <f aca="false">C18/C19</f>
        <v>0.29100017925611</v>
      </c>
      <c r="D20" s="54" t="n">
        <f aca="false">D18/D19</f>
        <v>0.178216584076824</v>
      </c>
      <c r="E20" s="54" t="n">
        <f aca="false">E18/E19</f>
        <v>0.128437696599582</v>
      </c>
    </row>
    <row r="23" customFormat="false" ht="15" hidden="false" customHeight="true" outlineLevel="0" collapsed="false">
      <c r="B23" s="50" t="s">
        <v>277</v>
      </c>
      <c r="C23" s="51"/>
      <c r="D23" s="51"/>
      <c r="E23" s="51"/>
      <c r="F23" s="51"/>
    </row>
    <row r="24" customFormat="false" ht="15" hidden="false" customHeight="true" outlineLevel="0" collapsed="false">
      <c r="B24" s="6" t="s">
        <v>278</v>
      </c>
      <c r="C24" s="7" t="s">
        <v>279</v>
      </c>
      <c r="D24" s="7"/>
      <c r="E24" s="7"/>
      <c r="F24" s="7"/>
    </row>
    <row r="25" customFormat="false" ht="15" hidden="false" customHeight="true" outlineLevel="0" collapsed="false">
      <c r="B25" s="6" t="s">
        <v>280</v>
      </c>
      <c r="C25" s="7" t="s">
        <v>281</v>
      </c>
      <c r="D25" s="7"/>
      <c r="E25" s="7"/>
      <c r="F25" s="7"/>
    </row>
    <row r="26" customFormat="false" ht="15" hidden="false" customHeight="true" outlineLevel="0" collapsed="false">
      <c r="B26" s="6" t="s">
        <v>282</v>
      </c>
      <c r="C26" s="7" t="s">
        <v>283</v>
      </c>
      <c r="D26" s="7"/>
      <c r="E26" s="7"/>
      <c r="F26" s="7"/>
    </row>
    <row r="27" customFormat="false" ht="15" hidden="false" customHeight="true" outlineLevel="0" collapsed="false">
      <c r="B27" s="6" t="s">
        <v>284</v>
      </c>
      <c r="C27" s="7" t="s">
        <v>285</v>
      </c>
      <c r="D27" s="7"/>
      <c r="E27" s="7"/>
      <c r="F27" s="7"/>
    </row>
    <row r="28" customFormat="false" ht="15" hidden="false" customHeight="true" outlineLevel="0" collapsed="false">
      <c r="B28" s="6" t="s">
        <v>286</v>
      </c>
      <c r="C28" s="7" t="s">
        <v>287</v>
      </c>
      <c r="D28" s="7"/>
      <c r="E28" s="7"/>
      <c r="F28" s="7"/>
    </row>
    <row r="29" customFormat="false" ht="15" hidden="false" customHeight="true" outlineLevel="0" collapsed="false">
      <c r="B29" s="6" t="s">
        <v>288</v>
      </c>
      <c r="C29" s="7" t="s">
        <v>289</v>
      </c>
      <c r="D29" s="7"/>
      <c r="E29" s="7"/>
      <c r="F29" s="7"/>
    </row>
    <row r="30" customFormat="false" ht="15" hidden="false" customHeight="true" outlineLevel="0" collapsed="false">
      <c r="B30" s="6" t="s">
        <v>290</v>
      </c>
      <c r="C30" s="7" t="s">
        <v>291</v>
      </c>
      <c r="D30" s="7"/>
      <c r="E30" s="7"/>
      <c r="F30" s="7"/>
    </row>
    <row r="31" customFormat="false" ht="15" hidden="false" customHeight="true" outlineLevel="0" collapsed="false">
      <c r="B31" s="6" t="s">
        <v>292</v>
      </c>
      <c r="C31" s="7" t="s">
        <v>293</v>
      </c>
      <c r="D31" s="7"/>
      <c r="E31" s="7"/>
      <c r="F31" s="7"/>
    </row>
  </sheetData>
  <mergeCells count="9">
    <mergeCell ref="A1:F1"/>
    <mergeCell ref="C24:F24"/>
    <mergeCell ref="C25:F25"/>
    <mergeCell ref="C26:F26"/>
    <mergeCell ref="C27:F27"/>
    <mergeCell ref="C28:F28"/>
    <mergeCell ref="C29:F29"/>
    <mergeCell ref="C30:F30"/>
    <mergeCell ref="C31:F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6"/>
    <col collapsed="false" customWidth="true" hidden="false" outlineLevel="0" max="3" min="3" style="1" width="30"/>
    <col collapsed="false" customWidth="true" hidden="false" outlineLevel="0" max="4" min="4" style="1" width="40"/>
    <col collapsed="false" customWidth="true" hidden="false" outlineLevel="0" max="7" min="5" style="1" width="11"/>
    <col collapsed="false" customWidth="true" hidden="false" outlineLevel="0" max="8" min="8" style="1" width="40"/>
  </cols>
  <sheetData>
    <row r="1" customFormat="false" ht="15" hidden="false" customHeight="true" outlineLevel="0" collapsed="false">
      <c r="A1" s="12" t="s">
        <v>294</v>
      </c>
      <c r="B1" s="12"/>
      <c r="C1" s="12"/>
      <c r="D1" s="12"/>
      <c r="E1" s="12"/>
      <c r="F1" s="12"/>
      <c r="G1" s="12"/>
      <c r="H1" s="12"/>
    </row>
    <row r="3" customFormat="false" ht="15" hidden="false" customHeight="true" outlineLevel="0" collapsed="false">
      <c r="B3" s="21" t="s">
        <v>295</v>
      </c>
      <c r="C3" s="21" t="s">
        <v>296</v>
      </c>
      <c r="D3" s="21" t="s">
        <v>297</v>
      </c>
      <c r="E3" s="21" t="s">
        <v>298</v>
      </c>
      <c r="F3" s="21" t="s">
        <v>299</v>
      </c>
      <c r="G3" s="21" t="s">
        <v>300</v>
      </c>
      <c r="H3" s="21" t="s">
        <v>301</v>
      </c>
    </row>
    <row r="4" customFormat="false" ht="42" hidden="false" customHeight="true" outlineLevel="0" collapsed="false">
      <c r="B4" s="55" t="n">
        <v>1</v>
      </c>
      <c r="C4" s="31" t="s">
        <v>302</v>
      </c>
      <c r="D4" s="56" t="s">
        <v>303</v>
      </c>
      <c r="E4" s="55" t="n">
        <v>5</v>
      </c>
      <c r="F4" s="55" t="n">
        <v>4</v>
      </c>
      <c r="G4" s="57" t="n">
        <f aca="false">E4*F4</f>
        <v>20</v>
      </c>
      <c r="H4" s="56" t="s">
        <v>304</v>
      </c>
    </row>
    <row r="5" customFormat="false" ht="42" hidden="false" customHeight="true" outlineLevel="0" collapsed="false">
      <c r="B5" s="55" t="n">
        <v>2</v>
      </c>
      <c r="C5" s="31" t="s">
        <v>305</v>
      </c>
      <c r="D5" s="56" t="s">
        <v>306</v>
      </c>
      <c r="E5" s="55" t="n">
        <v>5</v>
      </c>
      <c r="F5" s="55" t="n">
        <v>4</v>
      </c>
      <c r="G5" s="57" t="n">
        <f aca="false">E5*F5</f>
        <v>20</v>
      </c>
      <c r="H5" s="56" t="s">
        <v>307</v>
      </c>
    </row>
    <row r="6" customFormat="false" ht="42" hidden="false" customHeight="true" outlineLevel="0" collapsed="false">
      <c r="B6" s="55" t="n">
        <v>3</v>
      </c>
      <c r="C6" s="31" t="s">
        <v>308</v>
      </c>
      <c r="D6" s="56" t="s">
        <v>309</v>
      </c>
      <c r="E6" s="55" t="n">
        <v>4</v>
      </c>
      <c r="F6" s="55" t="n">
        <v>5</v>
      </c>
      <c r="G6" s="57" t="n">
        <f aca="false">E6*F6</f>
        <v>20</v>
      </c>
      <c r="H6" s="56" t="s">
        <v>310</v>
      </c>
    </row>
    <row r="7" customFormat="false" ht="42" hidden="false" customHeight="true" outlineLevel="0" collapsed="false">
      <c r="B7" s="58" t="n">
        <v>4</v>
      </c>
      <c r="C7" s="59" t="s">
        <v>311</v>
      </c>
      <c r="D7" s="60" t="s">
        <v>312</v>
      </c>
      <c r="E7" s="58" t="n">
        <v>4</v>
      </c>
      <c r="F7" s="58" t="n">
        <v>3</v>
      </c>
      <c r="G7" s="61" t="n">
        <f aca="false">E7*F7</f>
        <v>12</v>
      </c>
      <c r="H7" s="60" t="s">
        <v>313</v>
      </c>
    </row>
    <row r="8" customFormat="false" ht="42" hidden="false" customHeight="true" outlineLevel="0" collapsed="false">
      <c r="B8" s="55" t="n">
        <v>5</v>
      </c>
      <c r="C8" s="31" t="s">
        <v>314</v>
      </c>
      <c r="D8" s="56" t="s">
        <v>315</v>
      </c>
      <c r="E8" s="55" t="n">
        <v>4</v>
      </c>
      <c r="F8" s="55" t="n">
        <v>4</v>
      </c>
      <c r="G8" s="57" t="n">
        <f aca="false">E8*F8</f>
        <v>16</v>
      </c>
      <c r="H8" s="56" t="s">
        <v>316</v>
      </c>
    </row>
    <row r="9" customFormat="false" ht="42" hidden="false" customHeight="true" outlineLevel="0" collapsed="false">
      <c r="B9" s="58" t="n">
        <v>6</v>
      </c>
      <c r="C9" s="59" t="s">
        <v>317</v>
      </c>
      <c r="D9" s="60" t="s">
        <v>318</v>
      </c>
      <c r="E9" s="58" t="n">
        <v>4</v>
      </c>
      <c r="F9" s="58" t="n">
        <v>3</v>
      </c>
      <c r="G9" s="61" t="n">
        <f aca="false">E9*F9</f>
        <v>12</v>
      </c>
      <c r="H9" s="60" t="s">
        <v>319</v>
      </c>
    </row>
    <row r="10" customFormat="false" ht="42" hidden="false" customHeight="true" outlineLevel="0" collapsed="false">
      <c r="B10" s="40" t="n">
        <v>7</v>
      </c>
      <c r="C10" s="6" t="s">
        <v>320</v>
      </c>
      <c r="D10" s="62" t="s">
        <v>321</v>
      </c>
      <c r="E10" s="40" t="n">
        <v>2</v>
      </c>
      <c r="F10" s="40" t="n">
        <v>3</v>
      </c>
      <c r="G10" s="47" t="n">
        <f aca="false">E10*F10</f>
        <v>6</v>
      </c>
      <c r="H10" s="62" t="s">
        <v>322</v>
      </c>
    </row>
    <row r="11" customFormat="false" ht="42" hidden="false" customHeight="true" outlineLevel="0" collapsed="false">
      <c r="B11" s="58" t="n">
        <v>8</v>
      </c>
      <c r="C11" s="59" t="s">
        <v>323</v>
      </c>
      <c r="D11" s="60" t="s">
        <v>324</v>
      </c>
      <c r="E11" s="58" t="n">
        <v>3</v>
      </c>
      <c r="F11" s="58" t="n">
        <v>5</v>
      </c>
      <c r="G11" s="61" t="n">
        <f aca="false">E11*F11</f>
        <v>15</v>
      </c>
      <c r="H11" s="60" t="s">
        <v>325</v>
      </c>
    </row>
    <row r="12" customFormat="false" ht="42" hidden="false" customHeight="true" outlineLevel="0" collapsed="false">
      <c r="B12" s="40" t="n">
        <v>9</v>
      </c>
      <c r="C12" s="6" t="s">
        <v>326</v>
      </c>
      <c r="D12" s="62" t="s">
        <v>327</v>
      </c>
      <c r="E12" s="40" t="n">
        <v>2</v>
      </c>
      <c r="F12" s="40" t="n">
        <v>4</v>
      </c>
      <c r="G12" s="47" t="n">
        <f aca="false">E12*F12</f>
        <v>8</v>
      </c>
      <c r="H12" s="62" t="s">
        <v>328</v>
      </c>
    </row>
    <row r="13" customFormat="false" ht="42" hidden="false" customHeight="true" outlineLevel="0" collapsed="false">
      <c r="B13" s="58" t="n">
        <v>10</v>
      </c>
      <c r="C13" s="59" t="s">
        <v>329</v>
      </c>
      <c r="D13" s="60" t="s">
        <v>330</v>
      </c>
      <c r="E13" s="58" t="n">
        <v>3</v>
      </c>
      <c r="F13" s="58" t="n">
        <v>3</v>
      </c>
      <c r="G13" s="61" t="n">
        <f aca="false">E13*F13</f>
        <v>9</v>
      </c>
      <c r="H13" s="60" t="s">
        <v>331</v>
      </c>
    </row>
    <row r="14" customFormat="false" ht="42" hidden="false" customHeight="true" outlineLevel="0" collapsed="false">
      <c r="B14" s="58" t="n">
        <v>11</v>
      </c>
      <c r="C14" s="59" t="s">
        <v>332</v>
      </c>
      <c r="D14" s="60" t="s">
        <v>333</v>
      </c>
      <c r="E14" s="58" t="n">
        <v>5</v>
      </c>
      <c r="F14" s="58" t="n">
        <v>3</v>
      </c>
      <c r="G14" s="61" t="n">
        <f aca="false">E14*F14</f>
        <v>15</v>
      </c>
      <c r="H14" s="60" t="s">
        <v>334</v>
      </c>
    </row>
    <row r="15" customFormat="false" ht="42" hidden="false" customHeight="true" outlineLevel="0" collapsed="false">
      <c r="B15" s="58" t="n">
        <v>12</v>
      </c>
      <c r="C15" s="59" t="s">
        <v>335</v>
      </c>
      <c r="D15" s="60" t="s">
        <v>336</v>
      </c>
      <c r="E15" s="58" t="n">
        <v>4</v>
      </c>
      <c r="F15" s="58" t="n">
        <v>3</v>
      </c>
      <c r="G15" s="61" t="n">
        <f aca="false">E15*F15</f>
        <v>12</v>
      </c>
      <c r="H15" s="60" t="s">
        <v>337</v>
      </c>
    </row>
    <row r="16" customFormat="false" ht="42" hidden="false" customHeight="true" outlineLevel="0" collapsed="false">
      <c r="B16" s="55" t="n">
        <v>13</v>
      </c>
      <c r="C16" s="31" t="s">
        <v>338</v>
      </c>
      <c r="D16" s="56" t="s">
        <v>339</v>
      </c>
      <c r="E16" s="55" t="n">
        <v>4</v>
      </c>
      <c r="F16" s="55" t="n">
        <v>4</v>
      </c>
      <c r="G16" s="57" t="n">
        <f aca="false">E16*F16</f>
        <v>16</v>
      </c>
      <c r="H16" s="56" t="s">
        <v>340</v>
      </c>
    </row>
    <row r="17" customFormat="false" ht="42" hidden="false" customHeight="true" outlineLevel="0" collapsed="false">
      <c r="B17" s="58" t="n">
        <v>14</v>
      </c>
      <c r="C17" s="59" t="s">
        <v>341</v>
      </c>
      <c r="D17" s="60" t="s">
        <v>342</v>
      </c>
      <c r="E17" s="58" t="n">
        <v>5</v>
      </c>
      <c r="F17" s="58" t="n">
        <v>2</v>
      </c>
      <c r="G17" s="61" t="n">
        <f aca="false">E17*F17</f>
        <v>10</v>
      </c>
      <c r="H17" s="60" t="s">
        <v>343</v>
      </c>
    </row>
    <row r="18" customFormat="false" ht="42" hidden="false" customHeight="true" outlineLevel="0" collapsed="false">
      <c r="B18" s="58" t="n">
        <v>15</v>
      </c>
      <c r="C18" s="59" t="s">
        <v>344</v>
      </c>
      <c r="D18" s="60" t="s">
        <v>345</v>
      </c>
      <c r="E18" s="58" t="n">
        <v>4</v>
      </c>
      <c r="F18" s="58" t="n">
        <v>3</v>
      </c>
      <c r="G18" s="61" t="n">
        <f aca="false">E18*F18</f>
        <v>12</v>
      </c>
      <c r="H18" s="60" t="s">
        <v>346</v>
      </c>
    </row>
    <row r="20" customFormat="false" ht="15" hidden="false" customHeight="true" outlineLevel="0" collapsed="false">
      <c r="B20" s="63" t="s">
        <v>347</v>
      </c>
      <c r="C20" s="63"/>
      <c r="D20" s="63"/>
      <c r="E20" s="63"/>
      <c r="F20" s="63"/>
      <c r="G20" s="63"/>
      <c r="H20" s="63"/>
    </row>
  </sheetData>
  <mergeCells count="2">
    <mergeCell ref="A1:H1"/>
    <mergeCell ref="B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2026-05-31T13:41:11Z</dcterms:created>
  <dc:creator>openpyxl</dc:creator>
  <dc:description/>
  <dc:language>en-US</dc:language>
  <cp:lastModifiedBy/>
  <dcterms:modified xsi:type="dcterms:W3CDTF">2026-05-31T13:41:37Z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