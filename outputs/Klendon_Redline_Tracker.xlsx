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dline Tracker" sheetId="1" state="visible" r:id="rId3"/>
    <sheet name="Легенда" sheetId="2" state="visible" r:id="rId4"/>
    <sheet name="Сводк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<sst xmlns="http://schemas.openxmlformats.org/spreadsheetml/2006/main" count="117" uniqueCount="96">
  <si>
    <t xml:space="preserve">#</t>
  </si>
  <si>
    <t xml:space="preserve">Приоритет</t>
  </si>
  <si>
    <t xml:space="preserve">Тема</t>
  </si>
  <si>
    <t xml:space="preserve">Где в договоре</t>
  </si>
  <si>
    <t xml:space="preserve">Что написано сейчас (косяк)</t>
  </si>
  <si>
    <t xml:space="preserve">Что должно быть (правка)</t>
  </si>
  <si>
    <t xml:space="preserve">Риск / последствие если не править</t>
  </si>
  <si>
    <t xml:space="preserve">P0</t>
  </si>
  <si>
    <t xml:space="preserve">Early Termination Fee</t>
  </si>
  <si>
    <t xml:space="preserve">Sec. 3.2</t>
  </si>
  <si>
    <t xml:space="preserve">Greater of €45.000 или 0.5% от Target Capital Amount при расторжении Компанией до closing — даже если Klendon не привлёк ни одного евро. Объявлено «не штрафом», чтобы обойти § 343 BGB.</t>
  </si>
  <si>
    <t xml:space="preserve">УДАЛИТЬ полностью. Без замены. В finder-only договорах такой нормы не существует.</t>
  </si>
  <si>
    <t xml:space="preserve">Гарантированная выплата €45k при выходе без результата. С учётом авто-пролонгации — реальная ловушка.</t>
  </si>
  <si>
    <t xml:space="preserve">Long-list — односторонний контроль</t>
  </si>
  <si>
    <t xml:space="preserve">Sec. 3.1</t>
  </si>
  <si>
    <t xml:space="preserve">«Long-list of Investors provided by the Advisor and updated from time to time» — Klendon ведёт и обновляет список единолично, без твоего согласия и уведомления.</t>
  </si>
  <si>
    <t xml:space="preserve">Заменить на: «Approved Investor List, attached as Appendix B, which may be amended only by written agreement signed by both parties.»</t>
  </si>
  <si>
    <t xml:space="preserve">Klendon может ретроактивно вписать инвестора, к которому ты вышел сам, и потребовать 2% при closing'е.</t>
  </si>
  <si>
    <t xml:space="preserve">Tail clause — формулировка «directly or indirectly»</t>
  </si>
  <si>
    <t xml:space="preserve">Sec. 3.3</t>
  </si>
  <si>
    <t xml:space="preserve">9-месячный хвост на инвесторов «directly or indirectly first introduced, approached, OR IDENTIFIED by the Advisor during the Term». «Identified» = просто упоминание.</t>
  </si>
  <si>
    <t xml:space="preserve">Заменить на: «directly and in writing introduced by the Advisor during the Term, recorded in the Introduction Log per Sec. 1.7, where such introduction is the proximate cause of the financing».</t>
  </si>
  <si>
    <t xml:space="preserve">Эффективно делает договор эксклюзивным на всех, кого Klendon однажды записал. Спор в немецком суде, бремя доказывания на тебе.</t>
  </si>
  <si>
    <t xml:space="preserve">Авто-пролонгация на indefinite</t>
  </si>
  <si>
    <t xml:space="preserve">Sec. 4.2</t>
  </si>
  <si>
    <t xml:space="preserve">Если не уведомить за 30 дней до конца Initial Term — договор автоматически переходит на indefinite. Дальше выход только через 3 мес. notice + €45k штраф.</t>
  </si>
  <si>
    <t xml:space="preserve">Заменить на: «This Agreement shall automatically terminate at the end of the Initial Term. No renewal unless parties expressly agree in writing, signed at least 15 days before expiration.»</t>
  </si>
  <si>
    <t xml:space="preserve">Пропустишь 30-дневное окно — попал в бессрочный договор с €45k штрафом за выход.</t>
  </si>
  <si>
    <t xml:space="preserve">Раздутый скоуп (вместо «только интро»)</t>
  </si>
  <si>
    <t xml:space="preserve">Sec. 1.1–1.3, Appendix A (WP1–WP3)</t>
  </si>
  <si>
    <t xml:space="preserve">Договор обязывает Klendon делать pitch deck, equity story, data room, term sheet negotiation, DD support, closing. Тебе это не нужно.</t>
  </si>
  <si>
    <t xml:space="preserve">Полностью переписать Sec. 1.2–1.3 и Appendix A: единственный deliverable — «written introduction to investors from Approved Investor List».</t>
  </si>
  <si>
    <t xml:space="preserve">Ты структурно в breach с первого дня — Klendon может ссылаться на «non-performance» и требовать упущенную выгоду.</t>
  </si>
  <si>
    <t xml:space="preserve">Отсутствует carve-out по существующим контактам</t>
  </si>
  <si>
    <t xml:space="preserve">Sec. 3 (общая)</t>
  </si>
  <si>
    <t xml:space="preserve">Нет исключений для текущих инвесторов, друзей-основателей, ангелов, инвесторов с которыми ты уже общаешься.</t>
  </si>
  <si>
    <t xml:space="preserve">Добавить Sec. 1.8: «Success Fee shall not apply to (i) existing investors and affiliates; (ii) investors previously known to Company; (iii) investors introduced by third parties.» Приложить Appendix C — Excluded Investors List.</t>
  </si>
  <si>
    <t xml:space="preserve">Klendon претендует на 2% по сделкам с инвесторами, к которым ты сам имел доступ ещё до подписания.</t>
  </si>
  <si>
    <t xml:space="preserve">Двойной хвост 9 + 12 месяцев</t>
  </si>
  <si>
    <t xml:space="preserve">Sec. 3.1 и Sec. 3.3</t>
  </si>
  <si>
    <t xml:space="preserve">Sec. 3.1 устанавливает 12-мес. окно для closing по Long-list. Sec. 3.3 — 9 мес. по «introduced». Перекрываются и противоречат.</t>
  </si>
  <si>
    <t xml:space="preserve">Объединить в одну норму. Только Sec. 3.3 (9 мес.) по directly written introductions из Approved List. Sec. 3.1 — только closing во время Term.</t>
  </si>
  <si>
    <t xml:space="preserve">В споре Klendon выберет более выгодную формулировку. Двойной охват + неопределённость = слабая правовая позиция Компании.</t>
  </si>
  <si>
    <t xml:space="preserve">P1</t>
  </si>
  <si>
    <t xml:space="preserve">Нет cap на Success Fee</t>
  </si>
  <si>
    <t xml:space="preserve">2% без потолка. На раунде €10M = €200k, на €30M = €600k.</t>
  </si>
  <si>
    <t xml:space="preserve">Добавить: «In no event shall the aggregate Success Fee exceed €100.000.»</t>
  </si>
  <si>
    <t xml:space="preserve">Непропорционально большая выплата на крупном раунде, особенно при минимальном вкладе Klendon.</t>
  </si>
  <si>
    <t xml:space="preserve">Нет требования документировать интро</t>
  </si>
  <si>
    <t xml:space="preserve">новый пункт (Sec. 1.7)</t>
  </si>
  <si>
    <t xml:space="preserve">В договоре нигде не зафиксировано, что Klendon обязан документировать каждое интро.</t>
  </si>
  <si>
    <t xml:space="preserve">Добавить Sec. 1.7: «The Advisor shall provide a written log of each introduction (date, investor, contact, channel) within 5 business days. Only investors recorded in this log qualify under Sec. 3.»</t>
  </si>
  <si>
    <t xml:space="preserve">Klendon сможет постфактум утверждать о «представлении», которого не было — без письменных доказательств спор не выиграть.</t>
  </si>
  <si>
    <t xml:space="preserve">Mutual confidentiality (сейчас односторонняя)</t>
  </si>
  <si>
    <t xml:space="preserve">Sec. 7</t>
  </si>
  <si>
    <t xml:space="preserve">Только Advisor обязан хранить конфиденциальность. Klendon ничем не связан в обратную сторону.</t>
  </si>
  <si>
    <t xml:space="preserve">Добавить взаимную обязанность Klendon защищать non-public information Company. Срок: 2 года после прекращения.</t>
  </si>
  <si>
    <t xml:space="preserve">Klendon может использовать твою информацию в работе с конкурентами / другими клиентами.</t>
  </si>
  <si>
    <t xml:space="preserve">Запрет уступки со стороны Advisor</t>
  </si>
  <si>
    <t xml:space="preserve">Sec. 4.3</t>
  </si>
  <si>
    <t xml:space="preserve">Sec. 4.3 регулирует уступку только Компанией. Klendon формально может передать договор любому третьему лицу.</t>
  </si>
  <si>
    <t xml:space="preserve">Добавить: «The Advisor may not assign, delegate, or transfer any rights or obligations without prior written consent of the Company. The services are personal to the Advisor.»</t>
  </si>
  <si>
    <t xml:space="preserve">Klendon может передать mandate третьей стороне, с которой ты не выбирал работать.</t>
  </si>
  <si>
    <t xml:space="preserve">Target Capital Amount не определён</t>
  </si>
  <si>
    <t xml:space="preserve">Термин используется в формуле раннего расторжения, но нигде в договоре не определён.</t>
  </si>
  <si>
    <t xml:space="preserve">После удаления Sec. 3.2 (см. P0 #1) — термин больше не нужен. Если остаётся в каком-то виде — определить конкретной суммой в Appendix.</t>
  </si>
  <si>
    <t xml:space="preserve">Гарантированный предмет спора. Klendon будет настаивать на максимальной сумме планируемого раунда.</t>
  </si>
  <si>
    <t xml:space="preserve">P2</t>
  </si>
  <si>
    <t xml:space="preserve">Success Fee 2% — выше рынка для intro-only</t>
  </si>
  <si>
    <t xml:space="preserve">Ставка 2% разумна для full placement mandate, но завышена для «только интро».</t>
  </si>
  <si>
    <t xml:space="preserve">Снизить до 1% (или 0.5–1.5% + фикс per intro €2–5k). Это коммерческое предложение к торгу, не правовой риск.</t>
  </si>
  <si>
    <t xml:space="preserve">Переплата 50–100% относительно рынка finder-only моделей в Европе.</t>
  </si>
  <si>
    <t xml:space="preserve">Терминологическая путаница: «Company» vs «Principal»</t>
  </si>
  <si>
    <t xml:space="preserve">Sec. 3.1–3.3</t>
  </si>
  <si>
    <t xml:space="preserve">В одном разделе используются оба термина как взаимозаменяемые, хотя в Sec. 1 «Company» — единственная сторона.</t>
  </si>
  <si>
    <t xml:space="preserve">Заменить везде «Principal» на «Company» для единообразия.</t>
  </si>
  <si>
    <t xml:space="preserve">Двусмысленность при правоприменении. В споре каждая сторона будет тянуть в свою сторону.</t>
  </si>
  <si>
    <t xml:space="preserve">Поле Company не заполнено</t>
  </si>
  <si>
    <t xml:space="preserve">Преамбула, Sec. PARTIES (P4)</t>
  </si>
  <si>
    <t xml:space="preserve">В шапке стоит «_____ and Klendon GmbH» — название Компании не вписано.</t>
  </si>
  <si>
    <t xml:space="preserve">Внести полное юридическое название Компании, регистрационный номер, юрисдикцию, адрес.</t>
  </si>
  <si>
    <t xml:space="preserve">Подписание договора с пустым полем стороны = риск оспаривания действительности договора.</t>
  </si>
  <si>
    <t xml:space="preserve">Нет явной обязанности предоставлять данные</t>
  </si>
  <si>
    <t xml:space="preserve">Sec. 1, Appendix A</t>
  </si>
  <si>
    <t xml:space="preserve">В договоре не зафиксировано, какие данные Компания обязана предоставлять и в какие сроки.</t>
  </si>
  <si>
    <t xml:space="preserve">Добавить: «Company shall provide reasonable cooperation, including access to materials and information necessary for the Advisor's introduction work, within reasonable timeframes.»</t>
  </si>
  <si>
    <t xml:space="preserve">Klendon может объявить «material non-performance» при любой задержке с данными и расторгнуть для cause.</t>
  </si>
  <si>
    <t xml:space="preserve">Значение</t>
  </si>
  <si>
    <t xml:space="preserve">Критические — без правок подписывать НЕЛЬЗЯ. Финансовые ловушки и эксклюзивные эффекты.</t>
  </si>
  <si>
    <t xml:space="preserve">Важные — без правок коммерчески невыгодно, юридически уязвимо. Должны быть в финальной версии.</t>
  </si>
  <si>
    <t xml:space="preserve">Косметика / коммерческий торг — желательно, но не блокер. Можно использовать как «уступки» в переговорах.</t>
  </si>
  <si>
    <t xml:space="preserve">Метрика</t>
  </si>
  <si>
    <t xml:space="preserve">Всего пунктов на правку</t>
  </si>
  <si>
    <t xml:space="preserve">P0 (критические)</t>
  </si>
  <si>
    <t xml:space="preserve">P1 (важные)</t>
  </si>
  <si>
    <t xml:space="preserve">P2 (косметика)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</si>
</sst>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B084"/>
        <bgColor rgb="FFFFD966"/>
      </patternFill>
    </fill>
    <fill>
      <patternFill patternType="solid">
        <fgColor rgb="FFFFD966"/>
        <bgColor rgb="FFF4B084"/>
      </patternFill>
    </fill>
    <fill>
      <patternFill patternType="solid">
        <fgColor rgb="FFC5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4B084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48"/>
    <col collapsed="false" customWidth="true" hidden="false" outlineLevel="0" max="7" min="7" style="0" width="3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94.5" hidden="false" customHeight="true" outlineLevel="0" collapsed="false">
      <c r="A2" s="2" t="n">
        <v>1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customFormat="false" ht="94.5" hidden="false" customHeight="true" outlineLevel="0" collapsed="false">
      <c r="A3" s="2" t="n">
        <v>2</v>
      </c>
      <c r="B3" s="3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customFormat="false" ht="94.5" hidden="false" customHeight="true" outlineLevel="0" collapsed="false">
      <c r="A4" s="2" t="n">
        <v>3</v>
      </c>
      <c r="B4" s="3" t="s">
        <v>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customFormat="false" ht="94.5" hidden="false" customHeight="true" outlineLevel="0" collapsed="false">
      <c r="A5" s="2" t="n">
        <v>4</v>
      </c>
      <c r="B5" s="3" t="s">
        <v>7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customFormat="false" ht="94.5" hidden="false" customHeight="true" outlineLevel="0" collapsed="false">
      <c r="A6" s="2" t="n">
        <v>5</v>
      </c>
      <c r="B6" s="3" t="s">
        <v>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customFormat="false" ht="94.5" hidden="false" customHeight="true" outlineLevel="0" collapsed="false">
      <c r="A7" s="2" t="n">
        <v>6</v>
      </c>
      <c r="B7" s="3" t="s">
        <v>7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customFormat="false" ht="94.5" hidden="false" customHeight="true" outlineLevel="0" collapsed="false">
      <c r="A8" s="2" t="n">
        <v>7</v>
      </c>
      <c r="B8" s="3" t="s">
        <v>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  <row r="9" customFormat="false" ht="94.5" hidden="false" customHeight="true" outlineLevel="0" collapsed="false">
      <c r="A9" s="2" t="n">
        <v>8</v>
      </c>
      <c r="B9" s="4" t="s">
        <v>43</v>
      </c>
      <c r="C9" s="2" t="s">
        <v>44</v>
      </c>
      <c r="D9" s="2" t="s">
        <v>14</v>
      </c>
      <c r="E9" s="2" t="s">
        <v>45</v>
      </c>
      <c r="F9" s="2" t="s">
        <v>46</v>
      </c>
      <c r="G9" s="2" t="s">
        <v>47</v>
      </c>
    </row>
    <row r="10" customFormat="false" ht="94.5" hidden="false" customHeight="true" outlineLevel="0" collapsed="false">
      <c r="A10" s="2" t="n">
        <v>9</v>
      </c>
      <c r="B10" s="4" t="s">
        <v>43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</row>
    <row r="11" customFormat="false" ht="94.5" hidden="false" customHeight="true" outlineLevel="0" collapsed="false">
      <c r="A11" s="2" t="n">
        <v>10</v>
      </c>
      <c r="B11" s="4" t="s">
        <v>43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</row>
    <row r="12" customFormat="false" ht="94.5" hidden="false" customHeight="true" outlineLevel="0" collapsed="false">
      <c r="A12" s="2" t="n">
        <v>11</v>
      </c>
      <c r="B12" s="4" t="s">
        <v>43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</row>
    <row r="13" customFormat="false" ht="94.5" hidden="false" customHeight="true" outlineLevel="0" collapsed="false">
      <c r="A13" s="2" t="n">
        <v>12</v>
      </c>
      <c r="B13" s="4" t="s">
        <v>43</v>
      </c>
      <c r="C13" s="2" t="s">
        <v>63</v>
      </c>
      <c r="D13" s="2" t="s">
        <v>9</v>
      </c>
      <c r="E13" s="2" t="s">
        <v>64</v>
      </c>
      <c r="F13" s="2" t="s">
        <v>65</v>
      </c>
      <c r="G13" s="2" t="s">
        <v>66</v>
      </c>
    </row>
    <row r="14" customFormat="false" ht="94.5" hidden="false" customHeight="true" outlineLevel="0" collapsed="false">
      <c r="A14" s="2" t="n">
        <v>13</v>
      </c>
      <c r="B14" s="5" t="s">
        <v>67</v>
      </c>
      <c r="C14" s="2" t="s">
        <v>68</v>
      </c>
      <c r="D14" s="2" t="s">
        <v>14</v>
      </c>
      <c r="E14" s="2" t="s">
        <v>69</v>
      </c>
      <c r="F14" s="2" t="s">
        <v>70</v>
      </c>
      <c r="G14" s="2" t="s">
        <v>71</v>
      </c>
    </row>
    <row r="15" customFormat="false" ht="94.5" hidden="false" customHeight="true" outlineLevel="0" collapsed="false">
      <c r="A15" s="2" t="n">
        <v>14</v>
      </c>
      <c r="B15" s="5" t="s">
        <v>67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76</v>
      </c>
    </row>
    <row r="16" customFormat="false" ht="94.5" hidden="false" customHeight="true" outlineLevel="0" collapsed="false">
      <c r="A16" s="2" t="n">
        <v>15</v>
      </c>
      <c r="B16" s="5" t="s">
        <v>67</v>
      </c>
      <c r="C16" s="2" t="s">
        <v>77</v>
      </c>
      <c r="D16" s="2" t="s">
        <v>78</v>
      </c>
      <c r="E16" s="2" t="s">
        <v>79</v>
      </c>
      <c r="F16" s="2" t="s">
        <v>80</v>
      </c>
      <c r="G16" s="2" t="s">
        <v>81</v>
      </c>
    </row>
    <row r="17" customFormat="false" ht="94.5" hidden="false" customHeight="true" outlineLevel="0" collapsed="false">
      <c r="A17" s="2" t="n">
        <v>16</v>
      </c>
      <c r="B17" s="5" t="s">
        <v>67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1</v>
      </c>
      <c r="B1" s="1" t="s">
        <v>87</v>
      </c>
    </row>
    <row r="2" customFormat="false" ht="39.75" hidden="false" customHeight="true" outlineLevel="0" collapsed="false">
      <c r="A2" s="3" t="s">
        <v>7</v>
      </c>
      <c r="B2" s="2" t="s">
        <v>88</v>
      </c>
    </row>
    <row r="3" customFormat="false" ht="39.75" hidden="false" customHeight="true" outlineLevel="0" collapsed="false">
      <c r="A3" s="4" t="s">
        <v>43</v>
      </c>
      <c r="B3" s="2" t="s">
        <v>89</v>
      </c>
    </row>
    <row r="4" customFormat="false" ht="39.75" hidden="false" customHeight="true" outlineLevel="0" collapsed="false">
      <c r="A4" s="5" t="s">
        <v>67</v>
      </c>
      <c r="B4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91</v>
      </c>
      <c r="B1" s="1" t="s">
        <v>87</v>
      </c>
    </row>
    <row r="2" customFormat="false" ht="15" hidden="false" customHeight="false" outlineLevel="0" collapsed="false">
      <c r="A2" s="6" t="s">
        <v>92</v>
      </c>
      <c r="B2" s="7" t="n">
        <f aca="false">COUNTA('Redline Tracker'!A2:A100)</f>
        <v>16</v>
      </c>
    </row>
    <row r="3" customFormat="false" ht="15" hidden="false" customHeight="false" outlineLevel="0" collapsed="false">
      <c r="A3" s="6" t="s">
        <v>93</v>
      </c>
      <c r="B3" s="7" t="n">
        <f aca="false">COUNTIF('Redline Tracker'!B2:B100,"P0")</f>
        <v>7</v>
      </c>
    </row>
    <row r="4" customFormat="false" ht="15" hidden="false" customHeight="false" outlineLevel="0" collapsed="false">
      <c r="A4" s="6" t="s">
        <v>94</v>
      </c>
      <c r="B4" s="7" t="n">
        <f aca="false">COUNTIF('Redline Tracker'!B2:B100,"P1")</f>
        <v>5</v>
      </c>
    </row>
    <row r="5" customFormat="false" ht="15" hidden="false" customHeight="false" outlineLevel="0" collapsed="false">
      <c r="A5" s="6" t="s">
        <v>95</v>
      </c>
      <c r="B5" s="7" t="n">
        <f aca="false">COUNTIF('Redline Tracker'!B2:B100,"P2")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2026-05-27T08:50:43Z</dcterms:created>
  <dc:creator>openpyxl</dc:creator>
  <dc:description/>
  <dc:language>en-US</dc:language>
  <cp:lastModifiedBy/>
  <dcterms:modified xsi:type="dcterms:W3CDTF">2026-05-27T08:50:43Z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