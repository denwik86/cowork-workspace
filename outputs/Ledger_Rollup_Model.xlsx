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untry Mix" sheetId="4" state="visible" r:id="rId4"/>
    <sheet xmlns:r="http://schemas.openxmlformats.org/officeDocument/2006/relationships" name="M&amp;A Schedule" sheetId="5" state="visible" r:id="rId5"/>
    <sheet xmlns:r="http://schemas.openxmlformats.org/officeDocument/2006/relationships" name="Operating" sheetId="6" state="visible" r:id="rId6"/>
    <sheet xmlns:r="http://schemas.openxmlformats.org/officeDocument/2006/relationships" name="IS" sheetId="7" state="visible" r:id="rId7"/>
    <sheet xmlns:r="http://schemas.openxmlformats.org/officeDocument/2006/relationships" name="BS" sheetId="8" state="visible" r:id="rId8"/>
    <sheet xmlns:r="http://schemas.openxmlformats.org/officeDocument/2006/relationships" name="CF" sheetId="9" state="visible" r:id="rId9"/>
    <sheet xmlns:r="http://schemas.openxmlformats.org/officeDocument/2006/relationships" name="Debt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100-Day Plan" sheetId="13" state="visible" r:id="rId13"/>
    <sheet xmlns:r="http://schemas.openxmlformats.org/officeDocument/2006/relationships" name="Outputs" sheetId="14" state="visible" r:id="rId14"/>
    <sheet xmlns:r="http://schemas.openxmlformats.org/officeDocument/2006/relationships" name="Sources" sheetId="15" state="visible" r:id="rId15"/>
  </sheets>
  <definedNames>
    <definedName name="ScenarioSwitch">Cover!$C$16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0.0%;(0.0%);-"/>
    <numFmt numFmtId="166" formatCode="0.0&quot;x&quot;"/>
    <numFmt numFmtId="167" formatCode="0.0"/>
    <numFmt numFmtId="168" formatCode="0.00&quot;x&quot;"/>
  </numFmts>
  <fonts count="14">
    <font>
      <name val="Calibri"/>
      <family val="2"/>
      <color theme="1"/>
      <sz val="11"/>
      <scheme val="minor"/>
    </font>
    <font>
      <name val="Arial"/>
      <b val="1"/>
      <color rgb="001F3A5F"/>
      <sz val="26"/>
    </font>
    <font>
      <name val="Arial"/>
      <b val="1"/>
      <color rgb="001F3A5F"/>
      <sz val="12"/>
    </font>
    <font>
      <name val="Arial"/>
      <color rgb="00666666"/>
      <sz val="9"/>
    </font>
    <font>
      <name val="Arial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1F3A5F"/>
      <sz val="18"/>
    </font>
    <font>
      <name val="Arial"/>
      <b val="1"/>
      <color rgb="00FFFFFF"/>
      <sz val="10"/>
    </font>
    <font>
      <name val="Arial"/>
      <color rgb="000061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right" vertical="center"/>
    </xf>
    <xf numFmtId="0" fontId="10" fillId="3" borderId="0" pivotButton="0" quotePrefix="0" xfId="0"/>
    <xf numFmtId="0" fontId="0" fillId="3" borderId="0" pivotButton="0" quotePrefix="0" xfId="0"/>
    <xf numFmtId="0" fontId="6" fillId="2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2" fontId="6" fillId="2" borderId="0" applyAlignment="1" pivotButton="0" quotePrefix="0" xfId="0">
      <alignment horizontal="right" vertical="center"/>
    </xf>
    <xf numFmtId="165" fontId="6" fillId="2" borderId="0" applyAlignment="1" pivotButton="0" quotePrefix="0" xfId="0">
      <alignment horizontal="right" vertical="center"/>
    </xf>
    <xf numFmtId="3" fontId="6" fillId="2" borderId="0" applyAlignment="1" pivotButton="0" quotePrefix="0" xfId="0">
      <alignment horizontal="right" vertical="center"/>
    </xf>
    <xf numFmtId="1" fontId="6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3" fontId="6" fillId="2" borderId="0" pivotButton="0" quotePrefix="0" xfId="0"/>
    <xf numFmtId="165" fontId="6" fillId="2" borderId="0" pivotButton="0" quotePrefix="0" xfId="0"/>
    <xf numFmtId="3" fontId="11" fillId="0" borderId="0" pivotButton="0" quotePrefix="0" xfId="0"/>
    <xf numFmtId="166" fontId="6" fillId="2" borderId="0" pivotButton="0" quotePrefix="0" xfId="0"/>
    <xf numFmtId="3" fontId="9" fillId="0" borderId="0" pivotButton="0" quotePrefix="0" xfId="0"/>
    <xf numFmtId="3" fontId="5" fillId="0" borderId="1" pivotButton="0" quotePrefix="0" xfId="0"/>
    <xf numFmtId="0" fontId="11" fillId="0" borderId="0" pivotButton="0" quotePrefix="0" xfId="0"/>
    <xf numFmtId="165" fontId="9" fillId="0" borderId="0" pivotButton="0" quotePrefix="0" xfId="0"/>
    <xf numFmtId="165" fontId="11" fillId="0" borderId="0" pivotButton="0" quotePrefix="0" xfId="0"/>
    <xf numFmtId="0" fontId="5" fillId="4" borderId="0" pivotButton="0" quotePrefix="0" xfId="0"/>
    <xf numFmtId="3" fontId="5" fillId="4" borderId="0" pivotButton="0" quotePrefix="0" xfId="0"/>
    <xf numFmtId="165" fontId="5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3" fontId="12" fillId="0" borderId="0" pivotButton="0" quotePrefix="0" xfId="0"/>
    <xf numFmtId="166" fontId="5" fillId="0" borderId="0" pivotButton="0" quotePrefix="0" xfId="0"/>
    <xf numFmtId="167" fontId="6" fillId="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165" fontId="8" fillId="3" borderId="0" applyAlignment="1" pivotButton="0" quotePrefix="0" xfId="0">
      <alignment horizontal="center" vertical="center" wrapText="1"/>
    </xf>
    <xf numFmtId="166" fontId="8" fillId="3" borderId="0" applyAlignment="1" pivotButton="0" quotePrefix="0" xfId="0">
      <alignment horizontal="center" vertical="center" wrapText="1"/>
    </xf>
    <xf numFmtId="168" fontId="11" fillId="5" borderId="0" applyAlignment="1" pivotButton="0" quotePrefix="0" xfId="0">
      <alignment horizontal="center" vertical="center" wrapText="1"/>
    </xf>
    <xf numFmtId="168" fontId="11" fillId="6" borderId="0" applyAlignment="1" pivotButton="0" quotePrefix="0" xfId="0">
      <alignment horizontal="center" vertical="center" wrapText="1"/>
    </xf>
    <xf numFmtId="168" fontId="11" fillId="7" borderId="0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pivotButton="0" quotePrefix="0" xfId="0"/>
    <xf numFmtId="0" fontId="4" fillId="8" borderId="2" applyAlignment="1" pivotButton="0" quotePrefix="0" xfId="0">
      <alignment vertical="center" wrapText="1"/>
    </xf>
    <xf numFmtId="0" fontId="4" fillId="8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pivotButton="0" quotePrefix="0" xfId="0"/>
    <xf numFmtId="0" fontId="4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pivotButton="0" quotePrefix="0" xfId="0"/>
    <xf numFmtId="0" fontId="4" fillId="9" borderId="2" applyAlignment="1" pivotButton="0" quotePrefix="0" xfId="0">
      <alignment vertical="center" wrapText="1"/>
    </xf>
    <xf numFmtId="0" fontId="4" fillId="9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pivotButton="0" quotePrefix="0" xfId="0"/>
    <xf numFmtId="0" fontId="4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left" vertical="center" wrapText="1"/>
    </xf>
    <xf numFmtId="1" fontId="9" fillId="0" borderId="0" pivotButton="0" quotePrefix="0" xfId="0"/>
    <xf numFmtId="166" fontId="9" fillId="0" borderId="0" pivotButton="0" quotePrefix="0" xfId="0"/>
    <xf numFmtId="168" fontId="5" fillId="7" borderId="0" pivotButton="0" quotePrefix="0" xfId="0"/>
    <xf numFmtId="165" fontId="5" fillId="7" borderId="0" pivotButton="0" quotePrefix="0" xfId="0"/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Trajectory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'Outputs'!B5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'Outputs'!$C$5:$G$5</f>
            </numRef>
          </cat>
          <val>
            <numRef>
              <f>'Outputs'!$C$5:$G$5</f>
            </numRef>
          </val>
        </ser>
        <ser>
          <idx val="1"/>
          <order val="1"/>
          <tx>
            <strRef>
              <f>'Outputs'!B6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'Outputs'!$C$5:$G$5</f>
            </numRef>
          </cat>
          <val>
            <numRef>
              <f>'Outputs'!$C$6:$G$6</f>
            </numRef>
          </val>
        </ser>
        <ser>
          <idx val="2"/>
          <order val="2"/>
          <tx>
            <strRef>
              <f>'Outputs'!B7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'Outputs'!$C$5:$G$5</f>
            </numRef>
          </cat>
          <val>
            <numRef>
              <f>'Outputs'!$C$7:$G$7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'000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PROJECT LEDGER</t>
        </is>
      </c>
    </row>
    <row r="3">
      <c r="B3" s="2" t="inlineStr">
        <is>
          <t>Buy-and-build roll-up of accounting vendors &amp; firms across PL / IT / CY, with AI overlay</t>
        </is>
      </c>
    </row>
    <row r="5">
      <c r="B5" s="3" t="inlineStr">
        <is>
          <t>Model version: v1.0  |  Currency: EUR (thousands)  |  Periodicity: Annual FY26–FY30  |  Author: Founder (Viktar D.)</t>
        </is>
      </c>
    </row>
    <row r="7">
      <c r="B7" s="4" t="inlineStr">
        <is>
          <t>STRATEGIC THESIS</t>
        </is>
      </c>
    </row>
    <row r="8">
      <c r="B8" s="5" t="inlineStr">
        <is>
          <t>• Acquire 8–14 small accounting firms and niche bookkeeping software vendors over 5 years across PL/IT/CY</t>
        </is>
      </c>
    </row>
    <row r="9">
      <c r="B9" s="5" t="inlineStr">
        <is>
          <t>• Pay 3–6x EBITDA on entry (fragmented long-tail; aging owners; sub-€2M revenue firms)</t>
        </is>
      </c>
    </row>
    <row r="10">
      <c r="B10" s="5" t="inlineStr">
        <is>
          <t>• Integrate on common AI-powered tech stack (OCR, auto-categorization, agent-style review)</t>
        </is>
      </c>
    </row>
    <row r="11">
      <c r="B11" s="5" t="inlineStr">
        <is>
          <t>• Drive EBITDA margin from typical 10–15% to 25–35% via automation + shared services</t>
        </is>
      </c>
    </row>
    <row r="12">
      <c r="B12" s="5" t="inlineStr">
        <is>
          <t>• Exit Year 5–7 to strategic (Visma, TeamSystem, Zucchetti, Sage) or PE secondary at 8–12x EBITDA</t>
        </is>
      </c>
    </row>
    <row r="13">
      <c r="B13" s="5" t="inlineStr">
        <is>
          <t>• Multiple arbitrage spread = ~5–6x EBITDA at exit per €1 invested; targeted IRR 25–35%</t>
        </is>
      </c>
    </row>
    <row r="16">
      <c r="B16" s="6" t="inlineStr">
        <is>
          <t>SCENARIO SWITCH (cell C16): 1=Base, 2=Bull, 3=Bear</t>
        </is>
      </c>
      <c r="C16" s="7" t="n">
        <v>1</v>
      </c>
    </row>
    <row r="18">
      <c r="B18" s="4" t="inlineStr">
        <is>
          <t>TAB GUIDE</t>
        </is>
      </c>
    </row>
    <row r="19">
      <c r="B19" s="6" t="inlineStr">
        <is>
          <t>Checks</t>
        </is>
      </c>
      <c r="C19" s="5" t="inlineStr">
        <is>
          <t>Integrity checks: BS balances, NI ties, cash ties</t>
        </is>
      </c>
    </row>
    <row r="20">
      <c r="B20" s="6" t="inlineStr">
        <is>
          <t>Inputs</t>
        </is>
      </c>
      <c r="C20" s="5" t="inlineStr">
        <is>
          <t>All hardcoded assumptions (blue cells)</t>
        </is>
      </c>
    </row>
    <row r="21">
      <c r="B21" s="6" t="inlineStr">
        <is>
          <t>Country Mix</t>
        </is>
      </c>
      <c r="C21" s="5" t="inlineStr">
        <is>
          <t>PL/IT/CY market sizing &amp; acquisition funnel</t>
        </is>
      </c>
    </row>
    <row r="22">
      <c r="B22" s="6" t="inlineStr">
        <is>
          <t>M&amp;A Schedule</t>
        </is>
      </c>
      <c r="C22" s="5" t="inlineStr">
        <is>
          <t>Deal-by-deal pipeline with EV/EBITDA/synergy math</t>
        </is>
      </c>
    </row>
    <row r="23">
      <c r="B23" s="6" t="inlineStr">
        <is>
          <t>Operating</t>
        </is>
      </c>
      <c r="C23" s="5" t="inlineStr">
        <is>
          <t>Bottom-up consolidated revenue and EBITDA build</t>
        </is>
      </c>
    </row>
    <row r="24">
      <c r="B24" s="6" t="inlineStr">
        <is>
          <t>IS</t>
        </is>
      </c>
      <c r="C24" s="5" t="inlineStr">
        <is>
          <t>Income Statement</t>
        </is>
      </c>
    </row>
    <row r="25">
      <c r="B25" s="6" t="inlineStr">
        <is>
          <t>BS</t>
        </is>
      </c>
      <c r="C25" s="5" t="inlineStr">
        <is>
          <t>Balance Sheet</t>
        </is>
      </c>
    </row>
    <row r="26">
      <c r="B26" s="6" t="inlineStr">
        <is>
          <t>CF</t>
        </is>
      </c>
      <c r="C26" s="5" t="inlineStr">
        <is>
          <t>Cash Flow Statement (indirect method)</t>
        </is>
      </c>
    </row>
    <row r="27">
      <c r="B27" s="6" t="inlineStr">
        <is>
          <t>Debt</t>
        </is>
      </c>
      <c r="C27" s="5" t="inlineStr">
        <is>
          <t>Acquisition financing tranches and amortization</t>
        </is>
      </c>
    </row>
    <row r="28">
      <c r="B28" s="6" t="inlineStr">
        <is>
          <t>Scenarios</t>
        </is>
      </c>
      <c r="C28" s="5" t="inlineStr">
        <is>
          <t>Base / Bull / Bear assumption deltas</t>
        </is>
      </c>
    </row>
    <row r="29">
      <c r="B29" s="6" t="inlineStr">
        <is>
          <t>Sensitivity</t>
        </is>
      </c>
      <c r="C29" s="5" t="inlineStr">
        <is>
          <t>Exit multiple × organic growth → IRR/MoIC</t>
        </is>
      </c>
    </row>
    <row r="30">
      <c r="B30" s="6" t="inlineStr">
        <is>
          <t>100-Day Plan</t>
        </is>
      </c>
      <c r="C30" s="5" t="inlineStr">
        <is>
          <t>Day-by-day execution Gantt with owners &amp; deliverables</t>
        </is>
      </c>
    </row>
    <row r="31">
      <c r="B31" s="6" t="inlineStr">
        <is>
          <t>Outputs</t>
        </is>
      </c>
      <c r="C31" s="5" t="inlineStr">
        <is>
          <t>Headline KPIs &amp; charts</t>
        </is>
      </c>
    </row>
    <row r="32">
      <c r="B32" s="6" t="inlineStr">
        <is>
          <t>Sources</t>
        </is>
      </c>
      <c r="C32" s="5" t="inlineStr">
        <is>
          <t>All data sources with URLs</t>
        </is>
      </c>
    </row>
  </sheetData>
  <mergeCells count="20">
    <mergeCell ref="C30:G30"/>
    <mergeCell ref="C24:G24"/>
    <mergeCell ref="B8:G8"/>
    <mergeCell ref="B13:G13"/>
    <mergeCell ref="C26:G26"/>
    <mergeCell ref="C29:G29"/>
    <mergeCell ref="B10:G10"/>
    <mergeCell ref="C20:G20"/>
    <mergeCell ref="B9:G9"/>
    <mergeCell ref="C25:G25"/>
    <mergeCell ref="C31:G31"/>
    <mergeCell ref="C22:G22"/>
    <mergeCell ref="C21:G21"/>
    <mergeCell ref="C27:G27"/>
    <mergeCell ref="C23:G23"/>
    <mergeCell ref="C32:G32"/>
    <mergeCell ref="C28:G28"/>
    <mergeCell ref="C19:G19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8" t="inlineStr">
        <is>
          <t>INTEGRITY CHECKS</t>
        </is>
      </c>
    </row>
    <row r="4">
      <c r="B4" s="9" t="inlineStr">
        <is>
          <t>Check</t>
        </is>
      </c>
      <c r="C4" s="10" t="inlineStr">
        <is>
          <t>FY26</t>
        </is>
      </c>
      <c r="D4" s="10" t="inlineStr">
        <is>
          <t>FY27</t>
        </is>
      </c>
      <c r="E4" s="10" t="inlineStr">
        <is>
          <t>FY28</t>
        </is>
      </c>
      <c r="F4" s="10" t="inlineStr">
        <is>
          <t>FY29</t>
        </is>
      </c>
      <c r="G4" s="10" t="inlineStr">
        <is>
          <t>FY30</t>
        </is>
      </c>
    </row>
    <row r="5">
      <c r="B5" s="5" t="inlineStr">
        <is>
          <t>BS balance: Assets − (Liab + Equity)</t>
        </is>
      </c>
      <c r="C5" s="11">
        <f>'BS'!C25-'BS'!C40</f>
        <v/>
      </c>
      <c r="D5" s="11">
        <f>BS!D25-BS!D40</f>
        <v/>
      </c>
      <c r="E5" s="11">
        <f>BS!E25-BS!E40</f>
        <v/>
      </c>
      <c r="F5" s="11">
        <f>BS!F25-BS!F40</f>
        <v/>
      </c>
      <c r="G5" s="11">
        <f>BS!G25-BS!G40</f>
        <v/>
      </c>
    </row>
    <row r="6">
      <c r="B6" s="5" t="inlineStr">
        <is>
          <t>Cash check: CF closing cash − BS cash</t>
        </is>
      </c>
      <c r="C6" s="11">
        <f>CF!C30-BS!C7</f>
        <v/>
      </c>
      <c r="D6" s="11">
        <f>CF!D30-BS!D7</f>
        <v/>
      </c>
      <c r="E6" s="11">
        <f>CF!E30-BS!E7</f>
        <v/>
      </c>
      <c r="F6" s="11">
        <f>CF!F30-BS!F7</f>
        <v/>
      </c>
      <c r="G6" s="11">
        <f>CF!G30-BS!G7</f>
        <v/>
      </c>
    </row>
    <row r="7">
      <c r="B7" s="5" t="inlineStr">
        <is>
          <t>NI tie: IS net income − CF NI</t>
        </is>
      </c>
      <c r="C7" s="11">
        <f>IS!C20-CF!C5</f>
        <v/>
      </c>
      <c r="D7" s="11">
        <f>IS!D20-CF!D5</f>
        <v/>
      </c>
      <c r="E7" s="11">
        <f>IS!E20-CF!E5</f>
        <v/>
      </c>
      <c r="F7" s="11">
        <f>IS!F20-CF!F5</f>
        <v/>
      </c>
      <c r="G7" s="11">
        <f>IS!G20-CF!G5</f>
        <v/>
      </c>
    </row>
    <row r="9">
      <c r="B9" s="3" t="inlineStr">
        <is>
          <t>ALL CHECKS MUST RETURN 0. Conditional formatting: red if non-zero.</t>
        </is>
      </c>
    </row>
  </sheetData>
  <conditionalFormatting sqref="C5">
    <cfRule type="cellIs" priority="1" operator="notEqual" dxfId="0">
      <formula>0</formula>
    </cfRule>
  </conditionalFormatting>
  <conditionalFormatting sqref="D5">
    <cfRule type="cellIs" priority="2" operator="notEqual" dxfId="0">
      <formula>0</formula>
    </cfRule>
  </conditionalFormatting>
  <conditionalFormatting sqref="E5">
    <cfRule type="cellIs" priority="3" operator="notEqual" dxfId="0">
      <formula>0</formula>
    </cfRule>
  </conditionalFormatting>
  <conditionalFormatting sqref="F5">
    <cfRule type="cellIs" priority="4" operator="notEqual" dxfId="0">
      <formula>0</formula>
    </cfRule>
  </conditionalFormatting>
  <conditionalFormatting sqref="G5">
    <cfRule type="cellIs" priority="5" operator="notEqual" dxfId="0">
      <formula>0</formula>
    </cfRule>
  </conditionalFormatting>
  <conditionalFormatting sqref="C6">
    <cfRule type="cellIs" priority="6" operator="notEqual" dxfId="0">
      <formula>0</formula>
    </cfRule>
  </conditionalFormatting>
  <conditionalFormatting sqref="D6">
    <cfRule type="cellIs" priority="7" operator="notEqual" dxfId="0">
      <formula>0</formula>
    </cfRule>
  </conditionalFormatting>
  <conditionalFormatting sqref="E6">
    <cfRule type="cellIs" priority="8" operator="notEqual" dxfId="0">
      <formula>0</formula>
    </cfRule>
  </conditionalFormatting>
  <conditionalFormatting sqref="F6">
    <cfRule type="cellIs" priority="9" operator="notEqual" dxfId="0">
      <formula>0</formula>
    </cfRule>
  </conditionalFormatting>
  <conditionalFormatting sqref="G6">
    <cfRule type="cellIs" priority="10" operator="notEqual" dxfId="0">
      <formula>0</formula>
    </cfRule>
  </conditionalFormatting>
  <conditionalFormatting sqref="C7">
    <cfRule type="cellIs" priority="11" operator="notEqual" dxfId="0">
      <formula>0</formula>
    </cfRule>
  </conditionalFormatting>
  <conditionalFormatting sqref="D7">
    <cfRule type="cellIs" priority="12" operator="notEqual" dxfId="0">
      <formula>0</formula>
    </cfRule>
  </conditionalFormatting>
  <conditionalFormatting sqref="E7">
    <cfRule type="cellIs" priority="13" operator="notEqual" dxfId="0">
      <formula>0</formula>
    </cfRule>
  </conditionalFormatting>
  <conditionalFormatting sqref="F7">
    <cfRule type="cellIs" priority="14" operator="notEqual" dxfId="0">
      <formula>0</formula>
    </cfRule>
  </conditionalFormatting>
  <conditionalFormatting sqref="G7">
    <cfRule type="cellIs" priority="15" operator="not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4" customWidth="1" min="3" max="3"/>
    <col width="14" customWidth="1" min="4" max="4"/>
    <col width="60" customWidth="1" min="5" max="5"/>
  </cols>
  <sheetData>
    <row r="2">
      <c r="B2" s="8" t="inlineStr">
        <is>
          <t>INPUTS &amp; ASSUMPTIONS</t>
        </is>
      </c>
    </row>
    <row r="3">
      <c r="B3" s="3" t="inlineStr">
        <is>
          <t>Blue = hardcoded inputs. Black = computed. Source notes column E.</t>
        </is>
      </c>
    </row>
    <row r="5">
      <c r="B5" s="10" t="inlineStr">
        <is>
          <t>Section</t>
        </is>
      </c>
      <c r="C5" s="10" t="inlineStr">
        <is>
          <t>Value</t>
        </is>
      </c>
      <c r="D5" s="10" t="inlineStr">
        <is>
          <t>Unit</t>
        </is>
      </c>
      <c r="E5" s="10" t="inlineStr">
        <is>
          <t>Source / Rationale</t>
        </is>
      </c>
    </row>
    <row r="6">
      <c r="B6" s="12" t="inlineStr">
        <is>
          <t>MACRO &amp; FX</t>
        </is>
      </c>
      <c r="C6" s="13" t="n"/>
      <c r="D6" s="13" t="n"/>
      <c r="E6" s="13" t="n"/>
    </row>
    <row r="7">
      <c r="B7" s="5" t="inlineStr">
        <is>
          <t>Reporting currency</t>
        </is>
      </c>
      <c r="C7" s="14" t="inlineStr">
        <is>
          <t>EUR</t>
        </is>
      </c>
      <c r="D7" s="3" t="inlineStr"/>
      <c r="E7" s="15" t="inlineStr">
        <is>
          <t>Base currency for consolidation</t>
        </is>
      </c>
    </row>
    <row r="8">
      <c r="B8" s="5" t="inlineStr">
        <is>
          <t>Reporting unit</t>
        </is>
      </c>
      <c r="C8" s="14" t="inlineStr">
        <is>
          <t>Thousands</t>
        </is>
      </c>
      <c r="D8" s="3" t="inlineStr"/>
      <c r="E8" s="15" t="inlineStr">
        <is>
          <t>All values in EUR '000 unless stated</t>
        </is>
      </c>
    </row>
    <row r="9">
      <c r="B9" s="5" t="inlineStr">
        <is>
          <t>FX: EUR/PLN (avg FY26)</t>
        </is>
      </c>
      <c r="C9" s="16" t="n">
        <v>4.3</v>
      </c>
      <c r="D9" s="3" t="inlineStr">
        <is>
          <t>PLN</t>
        </is>
      </c>
      <c r="E9" s="15" t="inlineStr">
        <is>
          <t>NBP avg 2025-26; flat assumption</t>
        </is>
      </c>
    </row>
    <row r="10">
      <c r="B10" s="5" t="inlineStr">
        <is>
          <t>FX: EUR/EUR (avg)</t>
        </is>
      </c>
      <c r="C10" s="16" t="n">
        <v>1</v>
      </c>
      <c r="D10" s="3" t="inlineStr">
        <is>
          <t>EUR</t>
        </is>
      </c>
      <c r="E10" s="15" t="inlineStr">
        <is>
          <t>Italy &amp; Cyprus are EUR</t>
        </is>
      </c>
    </row>
    <row r="11">
      <c r="B11" s="5" t="inlineStr">
        <is>
          <t>Corp tax rate PL (CIT)</t>
        </is>
      </c>
      <c r="C11" s="17" t="n">
        <v>0.19</v>
      </c>
      <c r="D11" s="3" t="inlineStr">
        <is>
          <t>%</t>
        </is>
      </c>
      <c r="E11" s="15" t="inlineStr">
        <is>
          <t>PL CIT 19% (9% small CIT possible)</t>
        </is>
      </c>
    </row>
    <row r="12">
      <c r="B12" s="5" t="inlineStr">
        <is>
          <t>Corp tax rate IT (IRES+IRAP)</t>
        </is>
      </c>
      <c r="C12" s="17" t="n">
        <v>0.279</v>
      </c>
      <c r="D12" s="3" t="inlineStr">
        <is>
          <t>%</t>
        </is>
      </c>
      <c r="E12" s="15" t="inlineStr">
        <is>
          <t>IRES 24% + IRAP ~3.9% = ~27.9% effective</t>
        </is>
      </c>
    </row>
    <row r="13">
      <c r="B13" s="5" t="inlineStr">
        <is>
          <t>Corp tax rate CY</t>
        </is>
      </c>
      <c r="C13" s="17" t="n">
        <v>0.125</v>
      </c>
      <c r="D13" s="3" t="inlineStr">
        <is>
          <t>%</t>
        </is>
      </c>
      <c r="E13" s="15" t="inlineStr">
        <is>
          <t>Cyprus headline 12.5% (Pillar 2: 15% min for large groups)</t>
        </is>
      </c>
    </row>
    <row r="14">
      <c r="B14" s="5" t="inlineStr">
        <is>
          <t>Holdco effective tax rate</t>
        </is>
      </c>
      <c r="C14" s="17" t="n">
        <v>0.2</v>
      </c>
      <c r="D14" s="3" t="inlineStr">
        <is>
          <t>%</t>
        </is>
      </c>
      <c r="E14" s="15" t="inlineStr">
        <is>
          <t>Blended weighted by mix; CY holdco can lower further</t>
        </is>
      </c>
    </row>
    <row r="15">
      <c r="B15" s="12" t="inlineStr">
        <is>
          <t>CAPITAL &amp; FINANCING</t>
        </is>
      </c>
      <c r="C15" s="13" t="n"/>
      <c r="D15" s="13" t="n"/>
      <c r="E15" s="13" t="n"/>
    </row>
    <row r="16">
      <c r="B16" s="5" t="inlineStr">
        <is>
          <t>Seed equity raised (closed Day 1)</t>
        </is>
      </c>
      <c r="C16" s="18" t="n">
        <v>250</v>
      </c>
      <c r="D16" s="3" t="inlineStr">
        <is>
          <t>€k</t>
        </is>
      </c>
      <c r="E16" s="15" t="inlineStr">
        <is>
          <t>Lean seed €50–250k; we use upper bound</t>
        </is>
      </c>
    </row>
    <row r="17">
      <c r="B17" s="5" t="inlineStr">
        <is>
          <t>Seed extension (Day 90, on traction)</t>
        </is>
      </c>
      <c r="C17" s="18" t="n">
        <v>750</v>
      </c>
      <c r="D17" s="3" t="inlineStr">
        <is>
          <t>€k</t>
        </is>
      </c>
      <c r="E17" s="15" t="inlineStr">
        <is>
          <t>Bridge to Series A — angel/strategic</t>
        </is>
      </c>
    </row>
    <row r="18">
      <c r="B18" s="5" t="inlineStr">
        <is>
          <t>Series A (Month 9, acquisition capital)</t>
        </is>
      </c>
      <c r="C18" s="18" t="n">
        <v>6000</v>
      </c>
      <c r="D18" s="3" t="inlineStr">
        <is>
          <t>€k</t>
        </is>
      </c>
      <c r="E18" s="15" t="inlineStr">
        <is>
          <t>PE/sponsor for first 2 deals + WC</t>
        </is>
      </c>
    </row>
    <row r="19">
      <c r="B19" s="5" t="inlineStr">
        <is>
          <t>Acquisition debt ratio (% of EV)</t>
        </is>
      </c>
      <c r="C19" s="17" t="n">
        <v>0.4</v>
      </c>
      <c r="D19" s="3" t="inlineStr">
        <is>
          <t>%</t>
        </is>
      </c>
      <c r="E19" s="15" t="inlineStr">
        <is>
          <t>European mid-market: 35–45% senior debt typical</t>
        </is>
      </c>
    </row>
    <row r="20">
      <c r="B20" s="5" t="inlineStr">
        <is>
          <t>Acquisition debt rate (EURIBOR + 600 bps)</t>
        </is>
      </c>
      <c r="C20" s="17" t="n">
        <v>0.08500000000000001</v>
      </c>
      <c r="D20" s="3" t="inlineStr">
        <is>
          <t>%</t>
        </is>
      </c>
      <c r="E20" s="15" t="inlineStr">
        <is>
          <t>EURIBOR ~2.5% + 600 bps senior margin = ~8.5%</t>
        </is>
      </c>
    </row>
    <row r="21">
      <c r="B21" s="5" t="inlineStr">
        <is>
          <t>Debt tenor (years)</t>
        </is>
      </c>
      <c r="C21" s="19" t="n">
        <v>5</v>
      </c>
      <c r="D21" s="3" t="inlineStr">
        <is>
          <t>yrs</t>
        </is>
      </c>
      <c r="E21" s="15" t="inlineStr">
        <is>
          <t>Bullet or amortizing — model uses 5y bullet for term loan</t>
        </is>
      </c>
    </row>
    <row r="22">
      <c r="B22" s="12" t="inlineStr">
        <is>
          <t>M&amp;A PIPELINE &amp; MULTIPLES</t>
        </is>
      </c>
      <c r="C22" s="13" t="n"/>
      <c r="D22" s="13" t="n"/>
      <c r="E22" s="13" t="n"/>
    </row>
    <row r="23">
      <c r="B23" s="5" t="inlineStr">
        <is>
          <t>Acquisitions Year 1 (FY26)</t>
        </is>
      </c>
      <c r="C23" s="19" t="n">
        <v>2</v>
      </c>
      <c r="D23" s="3" t="inlineStr">
        <is>
          <t>deals</t>
        </is>
      </c>
      <c r="E23" s="15" t="inlineStr">
        <is>
          <t>Founder + 1 FTE M&amp;A; PL anchor + CY toehold</t>
        </is>
      </c>
    </row>
    <row r="24">
      <c r="B24" s="5" t="inlineStr">
        <is>
          <t>Acquisitions Year 2 (FY27)</t>
        </is>
      </c>
      <c r="C24" s="19" t="n">
        <v>3</v>
      </c>
      <c r="D24" s="3" t="inlineStr">
        <is>
          <t>deals</t>
        </is>
      </c>
      <c r="E24" s="15" t="inlineStr">
        <is>
          <t>Add IT entry (1) + PL bolt-on (2)</t>
        </is>
      </c>
    </row>
    <row r="25">
      <c r="B25" s="5" t="inlineStr">
        <is>
          <t>Acquisitions Year 3 (FY28)</t>
        </is>
      </c>
      <c r="C25" s="19" t="n">
        <v>3</v>
      </c>
      <c r="D25" s="3" t="inlineStr">
        <is>
          <t>deals</t>
        </is>
      </c>
      <c r="E25" s="15" t="inlineStr">
        <is>
          <t>Steady cadence — 1 per geo</t>
        </is>
      </c>
    </row>
    <row r="26">
      <c r="B26" s="5" t="inlineStr">
        <is>
          <t>Acquisitions Year 4 (FY29)</t>
        </is>
      </c>
      <c r="C26" s="19" t="n">
        <v>3</v>
      </c>
      <c r="D26" s="3" t="inlineStr">
        <is>
          <t>deals</t>
        </is>
      </c>
      <c r="E26" s="15" t="inlineStr">
        <is>
          <t>Continued cadence; scale operations</t>
        </is>
      </c>
    </row>
    <row r="27">
      <c r="B27" s="5" t="inlineStr">
        <is>
          <t>Acquisitions Year 5 (FY30)</t>
        </is>
      </c>
      <c r="C27" s="19" t="n">
        <v>3</v>
      </c>
      <c r="D27" s="3" t="inlineStr">
        <is>
          <t>deals</t>
        </is>
      </c>
      <c r="E27" s="15" t="inlineStr">
        <is>
          <t>Pre-exit; build to size</t>
        </is>
      </c>
    </row>
    <row r="28">
      <c r="B28" s="5" t="inlineStr">
        <is>
          <t>Avg target revenue (acquired co)</t>
        </is>
      </c>
      <c r="C28" s="18" t="n">
        <v>800</v>
      </c>
      <c r="D28" s="3" t="inlineStr">
        <is>
          <t>€k</t>
        </is>
      </c>
      <c r="E28" s="15" t="inlineStr">
        <is>
          <t>Sub-€2M sweet spot; PL skews smaller, IT larger</t>
        </is>
      </c>
    </row>
    <row r="29">
      <c r="B29" s="5" t="inlineStr">
        <is>
          <t>Avg target EBITDA margin (pre-deal)</t>
        </is>
      </c>
      <c r="C29" s="17" t="n">
        <v>0.12</v>
      </c>
      <c r="D29" s="3" t="inlineStr">
        <is>
          <t>%</t>
        </is>
      </c>
      <c r="E29" s="15" t="inlineStr">
        <is>
          <t>Typical mom-and-pop bookkeeping firm: 10–15%</t>
        </is>
      </c>
    </row>
    <row r="30">
      <c r="B30" s="5" t="inlineStr">
        <is>
          <t>Entry EV/EBITDA multiple (Base)</t>
        </is>
      </c>
      <c r="C30" s="20" t="n">
        <v>4.5</v>
      </c>
      <c r="D30" s="3" t="inlineStr">
        <is>
          <t>x</t>
        </is>
      </c>
      <c r="E30" s="15" t="inlineStr">
        <is>
          <t>PL 3–5x; IT 5–8x; CY 3–5x; weighted ~4.5x</t>
        </is>
      </c>
    </row>
    <row r="31">
      <c r="B31" s="5" t="inlineStr">
        <is>
          <t>Exit EV/EBITDA multiple (Base, Y5)</t>
        </is>
      </c>
      <c r="C31" s="20" t="n">
        <v>10</v>
      </c>
      <c r="D31" s="3" t="inlineStr">
        <is>
          <t>x</t>
        </is>
      </c>
      <c r="E31" s="15" t="inlineStr">
        <is>
          <t>European SMB SaaS at scale; Visma 2023 secondary implied ~22x on group</t>
        </is>
      </c>
    </row>
    <row r="32">
      <c r="B32" s="5" t="inlineStr">
        <is>
          <t>Transaction costs (% of EV)</t>
        </is>
      </c>
      <c r="C32" s="17" t="n">
        <v>0.05</v>
      </c>
      <c r="D32" s="3" t="inlineStr">
        <is>
          <t>%</t>
        </is>
      </c>
      <c r="E32" s="15" t="inlineStr">
        <is>
          <t>Lawyers, accountants, advisors</t>
        </is>
      </c>
    </row>
    <row r="33">
      <c r="B33" s="5" t="inlineStr">
        <is>
          <t>Earnout deferred (% of EV)</t>
        </is>
      </c>
      <c r="C33" s="17" t="n">
        <v>0.2</v>
      </c>
      <c r="D33" s="3" t="inlineStr">
        <is>
          <t>%</t>
        </is>
      </c>
      <c r="E33" s="15" t="inlineStr">
        <is>
          <t>Standard 20% earnout over 2–3 years</t>
        </is>
      </c>
    </row>
    <row r="34">
      <c r="B34" s="12" t="inlineStr">
        <is>
          <t>OPERATING DRIVERS</t>
        </is>
      </c>
      <c r="C34" s="13" t="n"/>
      <c r="D34" s="13" t="n"/>
      <c r="E34" s="13" t="n"/>
    </row>
    <row r="35">
      <c r="B35" s="5" t="inlineStr">
        <is>
          <t>Organic revenue growth (acquired cohort)</t>
        </is>
      </c>
      <c r="C35" s="17" t="n">
        <v>0.08</v>
      </c>
      <c r="D35" s="3" t="inlineStr">
        <is>
          <t>%</t>
        </is>
      </c>
      <c r="E35" s="15" t="inlineStr">
        <is>
          <t>8% blended; SMB churn-adjusted</t>
        </is>
      </c>
    </row>
    <row r="36">
      <c r="B36" s="5" t="inlineStr">
        <is>
          <t>EBITDA uplift from AI/automation (per year)</t>
        </is>
      </c>
      <c r="C36" s="17" t="n">
        <v>0.04</v>
      </c>
      <c r="D36" s="3" t="inlineStr">
        <is>
          <t>ppts</t>
        </is>
      </c>
      <c r="E36" s="15" t="inlineStr">
        <is>
          <t>OCR + auto-categorization + cross-sell; +400 bps/yr first 2 yrs</t>
        </is>
      </c>
    </row>
    <row r="37">
      <c r="B37" s="5" t="inlineStr">
        <is>
          <t>EBITDA margin cap (mature)</t>
        </is>
      </c>
      <c r="C37" s="17" t="n">
        <v>0.3</v>
      </c>
      <c r="D37" s="3" t="inlineStr">
        <is>
          <t>%</t>
        </is>
      </c>
      <c r="E37" s="15" t="inlineStr">
        <is>
          <t>Reasonable steady-state for hybrid services+SaaS</t>
        </is>
      </c>
    </row>
    <row r="38">
      <c r="B38" s="5" t="inlineStr">
        <is>
          <t>Holdco SG&amp;A (annual, FY26 baseline)</t>
        </is>
      </c>
      <c r="C38" s="18" t="n">
        <v>480</v>
      </c>
      <c r="D38" s="3" t="inlineStr">
        <is>
          <t>€k</t>
        </is>
      </c>
      <c r="E38" s="15" t="inlineStr">
        <is>
          <t>Founder + 2 FTE + tools (3-5 head HQ + tooling)</t>
        </is>
      </c>
    </row>
    <row r="39">
      <c r="B39" s="5" t="inlineStr">
        <is>
          <t>Holdco SG&amp;A growth rate (per year)</t>
        </is>
      </c>
      <c r="C39" s="17" t="n">
        <v>0.2</v>
      </c>
      <c r="D39" s="3" t="inlineStr">
        <is>
          <t>%</t>
        </is>
      </c>
      <c r="E39" s="15" t="inlineStr">
        <is>
          <t>Hires for finance/legal as deals scale</t>
        </is>
      </c>
    </row>
    <row r="40">
      <c r="B40" s="5" t="inlineStr">
        <is>
          <t>Integration cost (% of target rev, one-time)</t>
        </is>
      </c>
      <c r="C40" s="17" t="n">
        <v>0.1</v>
      </c>
      <c r="D40" s="3" t="inlineStr">
        <is>
          <t>%</t>
        </is>
      </c>
      <c r="E40" s="15" t="inlineStr">
        <is>
          <t>Tech migration + rebrand + HR</t>
        </is>
      </c>
    </row>
    <row r="41">
      <c r="B41" s="5" t="inlineStr">
        <is>
          <t>D&amp;A (% of revenue)</t>
        </is>
      </c>
      <c r="C41" s="17" t="n">
        <v>0.03</v>
      </c>
      <c r="D41" s="3" t="inlineStr">
        <is>
          <t>%</t>
        </is>
      </c>
      <c r="E41" s="15" t="inlineStr">
        <is>
          <t>Goodwill not amortized under IFRS; D&amp;A from tech capex</t>
        </is>
      </c>
    </row>
    <row r="42">
      <c r="B42" s="5" t="inlineStr">
        <is>
          <t>Capex (% of revenue, organic)</t>
        </is>
      </c>
      <c r="C42" s="17" t="n">
        <v>0.04</v>
      </c>
      <c r="D42" s="3" t="inlineStr">
        <is>
          <t>%</t>
        </is>
      </c>
      <c r="E42" s="15" t="inlineStr">
        <is>
          <t>Platform engineering + integrations</t>
        </is>
      </c>
    </row>
    <row r="43">
      <c r="B43" s="5" t="inlineStr">
        <is>
          <t>Working capital days (NWC)</t>
        </is>
      </c>
      <c r="C43" s="19" t="n">
        <v>30</v>
      </c>
      <c r="D43" s="3" t="inlineStr">
        <is>
          <t>days</t>
        </is>
      </c>
      <c r="E43" s="15" t="inlineStr">
        <is>
          <t>Typical accounting services collection cycle</t>
        </is>
      </c>
    </row>
    <row r="44">
      <c r="B44" s="12" t="inlineStr">
        <is>
          <t>EXIT &amp; VALUATION</t>
        </is>
      </c>
      <c r="C44" s="13" t="n"/>
      <c r="D44" s="13" t="n"/>
      <c r="E44" s="13" t="n"/>
    </row>
    <row r="45">
      <c r="B45" s="5" t="inlineStr">
        <is>
          <t>Exit year</t>
        </is>
      </c>
      <c r="C45" s="19" t="n">
        <v>5</v>
      </c>
      <c r="D45" s="3" t="inlineStr">
        <is>
          <t>yr</t>
        </is>
      </c>
      <c r="E45" s="15" t="inlineStr">
        <is>
          <t>Plan-year 5 sale; can extend to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8" t="inlineStr">
        <is>
          <t>MARKET SIZING &amp; ACQUISITION FUNNEL</t>
        </is>
      </c>
    </row>
    <row r="3">
      <c r="B3" s="3" t="inlineStr">
        <is>
          <t>Sources: agent research (Eurostat + national stat offices + industry associations); see Sources tab</t>
        </is>
      </c>
    </row>
    <row r="5">
      <c r="B5" s="10" t="inlineStr">
        <is>
          <t>Metric</t>
        </is>
      </c>
      <c r="C5" s="10" t="inlineStr">
        <is>
          <t>Poland (PL)</t>
        </is>
      </c>
      <c r="D5" s="10" t="inlineStr">
        <is>
          <t>Italy (IT)</t>
        </is>
      </c>
      <c r="E5" s="10" t="inlineStr">
        <is>
          <t>Cyprus (CY)</t>
        </is>
      </c>
      <c r="F5" s="10" t="inlineStr">
        <is>
          <t>Total / Notes</t>
        </is>
      </c>
    </row>
    <row r="6">
      <c r="B6" s="5" t="inlineStr">
        <is>
          <t>Number of registered accounting/bookkeeping firms</t>
        </is>
      </c>
      <c r="C6" s="21" t="n">
        <v>52847</v>
      </c>
      <c r="D6" s="21" t="n">
        <v>127000</v>
      </c>
      <c r="E6" s="21" t="n">
        <v>800</v>
      </c>
      <c r="F6" s="15" t="inlineStr">
        <is>
          <t>PL + IT = 99% of universe</t>
        </is>
      </c>
    </row>
    <row r="7">
      <c r="B7" s="5" t="inlineStr">
        <is>
          <t>Estimated annual accounting market size (€M)</t>
        </is>
      </c>
      <c r="C7" s="21" t="n">
        <v>275</v>
      </c>
      <c r="D7" s="21" t="n">
        <v>1350</v>
      </c>
      <c r="E7" s="21" t="n">
        <v>53</v>
      </c>
      <c r="F7" s="15" t="inlineStr">
        <is>
          <t>PL+IT+CY ~€1.68B addressable</t>
        </is>
      </c>
    </row>
    <row r="8">
      <c r="B8" s="5" t="inlineStr">
        <is>
          <t>Number of SMBs (&lt;50 employees, '000)</t>
        </is>
      </c>
      <c r="C8" s="21" t="n">
        <v>2400</v>
      </c>
      <c r="D8" s="21" t="n">
        <v>4200</v>
      </c>
      <c r="E8" s="21" t="n">
        <v>50</v>
      </c>
      <c r="F8" s="15" t="inlineStr">
        <is>
          <t>Eurostat SBA factsheets</t>
        </is>
      </c>
    </row>
    <row r="9">
      <c r="B9" s="5" t="inlineStr">
        <is>
          <t>E-invoicing mandate status</t>
        </is>
      </c>
      <c r="C9" s="22" t="inlineStr">
        <is>
          <t>KSeF Feb 2026</t>
        </is>
      </c>
      <c r="D9" s="22" t="inlineStr">
        <is>
          <t>SdI since 2019</t>
        </is>
      </c>
      <c r="E9" s="22" t="inlineStr">
        <is>
          <t>EU 2030 ViDA</t>
        </is>
      </c>
      <c r="F9" s="15" t="inlineStr">
        <is>
          <t>Major demand driver</t>
        </is>
      </c>
    </row>
    <row r="10">
      <c r="B10" s="5" t="inlineStr">
        <is>
          <t>Avg local accountant salary (€/yr fully loaded)</t>
        </is>
      </c>
      <c r="C10" s="21" t="n">
        <v>18000</v>
      </c>
      <c r="D10" s="21" t="n">
        <v>38000</v>
      </c>
      <c r="E10" s="21" t="n">
        <v>32000</v>
      </c>
      <c r="F10" s="15" t="inlineStr">
        <is>
          <t>Glassdoor + national assoc</t>
        </is>
      </c>
    </row>
    <row r="11">
      <c r="B11" s="5" t="inlineStr">
        <is>
          <t>Local M&amp;A multiple range (EV/EBITDA)</t>
        </is>
      </c>
      <c r="C11" s="23" t="n">
        <v>4</v>
      </c>
      <c r="D11" s="23" t="n">
        <v>6.5</v>
      </c>
      <c r="E11" s="23" t="n">
        <v>4</v>
      </c>
      <c r="F11" s="15" t="inlineStr">
        <is>
          <t>PL 3–5x; IT 5–8x; CY 3–5x — midpoint shown</t>
        </is>
      </c>
    </row>
    <row r="12">
      <c r="B12" s="5" t="inlineStr">
        <is>
          <t>Long-tail acquisition targets (revenue &lt;€2M)</t>
        </is>
      </c>
      <c r="C12" s="21" t="n">
        <v>8500</v>
      </c>
      <c r="D12" s="21" t="n">
        <v>22000</v>
      </c>
      <c r="E12" s="21" t="n">
        <v>250</v>
      </c>
      <c r="F12" s="15" t="inlineStr">
        <is>
          <t>Estimate (~16% of universe)</t>
        </is>
      </c>
    </row>
    <row r="13">
      <c r="B13" s="5" t="inlineStr">
        <is>
          <t>Realistic 5Y acquisition target</t>
        </is>
      </c>
      <c r="C13" s="21" t="n">
        <v>6</v>
      </c>
      <c r="D13" s="21" t="n">
        <v>5</v>
      </c>
      <c r="E13" s="21" t="n">
        <v>3</v>
      </c>
      <c r="F13" s="15" t="inlineStr">
        <is>
          <t>Conservative funnel (~0.07% of long-tail)</t>
        </is>
      </c>
    </row>
    <row r="16">
      <c r="B16" s="4" t="inlineStr">
        <is>
          <t>ENTRY SEQUENCE &amp; RATIONALE</t>
        </is>
      </c>
    </row>
    <row r="17" ht="50" customHeight="1">
      <c r="B17" s="6" t="inlineStr">
        <is>
          <t>Phase 1 — Poland (Months 0–9)</t>
        </is>
      </c>
      <c r="C17" s="24" t="inlineStr">
        <is>
          <t>KSeF mandate creates forced-buyer dynamics; lowest multiples; 8.5k long-tail targets; entry through 1 anchor firm acquisition + 1 software vendor bolt-on</t>
        </is>
      </c>
    </row>
    <row r="18" ht="50" customHeight="1">
      <c r="B18" s="6" t="inlineStr">
        <is>
          <t>Phase 2 — Cyprus (Months 3–6)</t>
        </is>
      </c>
      <c r="C18" s="24" t="inlineStr">
        <is>
          <t>Set up holdco for IP and tax optimization; small acquisition for tax/audit nicheservice — used as M&amp;A/finance hub. Pillar 2 may erode advantage; still favorable for sub-€750M groups.</t>
        </is>
      </c>
    </row>
    <row r="19" ht="50" customHeight="1">
      <c r="B19" s="6" t="inlineStr">
        <is>
          <t>Phase 3 — Italy (Months 9–18)</t>
        </is>
      </c>
      <c r="C19" s="24" t="inlineStr">
        <is>
          <t>Higher multiples but proven consolidation precedent (TeamSystem, Zucchetti). Enter via 1 commercialista acquisition with strong digital practice. Defer until we have €5M+ to deploy.</t>
        </is>
      </c>
    </row>
  </sheetData>
  <mergeCells count="3">
    <mergeCell ref="C19:F19"/>
    <mergeCell ref="C18:F18"/>
    <mergeCell ref="C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3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8" t="inlineStr">
        <is>
          <t>DEAL-BY-DEAL PIPELINE</t>
        </is>
      </c>
    </row>
    <row r="3">
      <c r="B3" s="3" t="inlineStr">
        <is>
          <t>All amounts in €'000. Targets are profile sketches; replace with real LOIs as pipeline materializes.</t>
        </is>
      </c>
    </row>
    <row r="5">
      <c r="B5" s="10" t="inlineStr">
        <is>
          <t>Codename</t>
        </is>
      </c>
      <c r="C5" s="10" t="inlineStr">
        <is>
          <t>Geo</t>
        </is>
      </c>
      <c r="D5" s="10" t="inlineStr">
        <is>
          <t>FY</t>
        </is>
      </c>
      <c r="E5" s="10" t="inlineStr">
        <is>
          <t>Target rev (€k)</t>
        </is>
      </c>
      <c r="F5" s="10" t="inlineStr">
        <is>
          <t>Tgt EBITDA margin</t>
        </is>
      </c>
      <c r="G5" s="10" t="inlineStr">
        <is>
          <t>Tgt EBITDA (€k)</t>
        </is>
      </c>
      <c r="H5" s="10" t="inlineStr">
        <is>
          <t>Entry multiple</t>
        </is>
      </c>
      <c r="I5" s="10" t="inlineStr">
        <is>
          <t>EV (€k)</t>
        </is>
      </c>
      <c r="J5" s="10" t="inlineStr">
        <is>
          <t>Equity (€k)</t>
        </is>
      </c>
      <c r="K5" s="10" t="inlineStr">
        <is>
          <t>Debt (€k)</t>
        </is>
      </c>
      <c r="L5" s="10" t="inlineStr">
        <is>
          <t>Earnout (€k)</t>
        </is>
      </c>
    </row>
    <row r="6">
      <c r="B6" s="6" t="inlineStr">
        <is>
          <t>LEDGER-1 (PL anchor)</t>
        </is>
      </c>
      <c r="C6" s="25" t="inlineStr">
        <is>
          <t>PL</t>
        </is>
      </c>
      <c r="D6" s="25" t="inlineStr">
        <is>
          <t>FY26</t>
        </is>
      </c>
      <c r="E6" s="26" t="n">
        <v>1200</v>
      </c>
      <c r="F6" s="27" t="n">
        <v>0.13</v>
      </c>
      <c r="G6" s="28">
        <f>E6*F6</f>
        <v/>
      </c>
      <c r="H6" s="29" t="n">
        <v>4</v>
      </c>
      <c r="I6" s="28">
        <f>G6*H6</f>
        <v/>
      </c>
      <c r="J6" s="30">
        <f>I6*(1-Inputs!$C$20)*(1-Inputs!$C$21)</f>
        <v/>
      </c>
      <c r="K6" s="30">
        <f>I6*Inputs!$C$20*(1-Inputs!$C$21)</f>
        <v/>
      </c>
      <c r="L6" s="30">
        <f>I6*Inputs!$C$21</f>
        <v/>
      </c>
    </row>
    <row r="7">
      <c r="B7" s="6" t="inlineStr">
        <is>
          <t>LEDGER-2 (CY hub)</t>
        </is>
      </c>
      <c r="C7" s="25" t="inlineStr">
        <is>
          <t>CY</t>
        </is>
      </c>
      <c r="D7" s="25" t="inlineStr">
        <is>
          <t>FY26</t>
        </is>
      </c>
      <c r="E7" s="26" t="n">
        <v>400</v>
      </c>
      <c r="F7" s="27" t="n">
        <v>0.18</v>
      </c>
      <c r="G7" s="28">
        <f>E7*F7</f>
        <v/>
      </c>
      <c r="H7" s="29" t="n">
        <v>4</v>
      </c>
      <c r="I7" s="28">
        <f>G7*H7</f>
        <v/>
      </c>
      <c r="J7" s="30">
        <f>I7*(1-Inputs!$C$20)*(1-Inputs!$C$21)</f>
        <v/>
      </c>
      <c r="K7" s="30">
        <f>I7*Inputs!$C$20*(1-Inputs!$C$21)</f>
        <v/>
      </c>
      <c r="L7" s="30">
        <f>I7*Inputs!$C$21</f>
        <v/>
      </c>
    </row>
    <row r="8">
      <c r="B8" s="6" t="inlineStr">
        <is>
          <t>LEDGER-3 (PL software)</t>
        </is>
      </c>
      <c r="C8" s="25" t="inlineStr">
        <is>
          <t>PL</t>
        </is>
      </c>
      <c r="D8" s="25" t="inlineStr">
        <is>
          <t>FY27</t>
        </is>
      </c>
      <c r="E8" s="26" t="n">
        <v>900</v>
      </c>
      <c r="F8" s="27" t="n">
        <v>0.2</v>
      </c>
      <c r="G8" s="28">
        <f>E8*F8</f>
        <v/>
      </c>
      <c r="H8" s="29" t="n">
        <v>5</v>
      </c>
      <c r="I8" s="28">
        <f>G8*H8</f>
        <v/>
      </c>
      <c r="J8" s="30">
        <f>I8*(1-Inputs!$C$20)*(1-Inputs!$C$21)</f>
        <v/>
      </c>
      <c r="K8" s="30">
        <f>I8*Inputs!$C$20*(1-Inputs!$C$21)</f>
        <v/>
      </c>
      <c r="L8" s="30">
        <f>I8*Inputs!$C$21</f>
        <v/>
      </c>
    </row>
    <row r="9">
      <c r="B9" s="6" t="inlineStr">
        <is>
          <t>LEDGER-4 (IT anchor)</t>
        </is>
      </c>
      <c r="C9" s="25" t="inlineStr">
        <is>
          <t>IT</t>
        </is>
      </c>
      <c r="D9" s="25" t="inlineStr">
        <is>
          <t>FY27</t>
        </is>
      </c>
      <c r="E9" s="26" t="n">
        <v>1500</v>
      </c>
      <c r="F9" s="27" t="n">
        <v>0.15</v>
      </c>
      <c r="G9" s="28">
        <f>E9*F9</f>
        <v/>
      </c>
      <c r="H9" s="29" t="n">
        <v>6.5</v>
      </c>
      <c r="I9" s="28">
        <f>G9*H9</f>
        <v/>
      </c>
      <c r="J9" s="30">
        <f>I9*(1-Inputs!$C$20)*(1-Inputs!$C$21)</f>
        <v/>
      </c>
      <c r="K9" s="30">
        <f>I9*Inputs!$C$20*(1-Inputs!$C$21)</f>
        <v/>
      </c>
      <c r="L9" s="30">
        <f>I9*Inputs!$C$21</f>
        <v/>
      </c>
    </row>
    <row r="10">
      <c r="B10" s="6" t="inlineStr">
        <is>
          <t>LEDGER-5 (PL bolt-on)</t>
        </is>
      </c>
      <c r="C10" s="25" t="inlineStr">
        <is>
          <t>PL</t>
        </is>
      </c>
      <c r="D10" s="25" t="inlineStr">
        <is>
          <t>FY27</t>
        </is>
      </c>
      <c r="E10" s="26" t="n">
        <v>700</v>
      </c>
      <c r="F10" s="27" t="n">
        <v>0.12</v>
      </c>
      <c r="G10" s="28">
        <f>E10*F10</f>
        <v/>
      </c>
      <c r="H10" s="29" t="n">
        <v>4</v>
      </c>
      <c r="I10" s="28">
        <f>G10*H10</f>
        <v/>
      </c>
      <c r="J10" s="30">
        <f>I10*(1-Inputs!$C$20)*(1-Inputs!$C$21)</f>
        <v/>
      </c>
      <c r="K10" s="30">
        <f>I10*Inputs!$C$20*(1-Inputs!$C$21)</f>
        <v/>
      </c>
      <c r="L10" s="30">
        <f>I10*Inputs!$C$21</f>
        <v/>
      </c>
    </row>
    <row r="11">
      <c r="B11" s="6" t="inlineStr">
        <is>
          <t>LEDGER-6 (IT commercialista)</t>
        </is>
      </c>
      <c r="C11" s="25" t="inlineStr">
        <is>
          <t>IT</t>
        </is>
      </c>
      <c r="D11" s="25" t="inlineStr">
        <is>
          <t>FY28</t>
        </is>
      </c>
      <c r="E11" s="26" t="n">
        <v>1100</v>
      </c>
      <c r="F11" s="27" t="n">
        <v>0.14</v>
      </c>
      <c r="G11" s="28">
        <f>E11*F11</f>
        <v/>
      </c>
      <c r="H11" s="29" t="n">
        <v>6</v>
      </c>
      <c r="I11" s="28">
        <f>G11*H11</f>
        <v/>
      </c>
      <c r="J11" s="30">
        <f>I11*(1-Inputs!$C$20)*(1-Inputs!$C$21)</f>
        <v/>
      </c>
      <c r="K11" s="30">
        <f>I11*Inputs!$C$20*(1-Inputs!$C$21)</f>
        <v/>
      </c>
      <c r="L11" s="30">
        <f>I11*Inputs!$C$21</f>
        <v/>
      </c>
    </row>
    <row r="12">
      <c r="B12" s="6" t="inlineStr">
        <is>
          <t>LEDGER-7 (PL payroll niche)</t>
        </is>
      </c>
      <c r="C12" s="25" t="inlineStr">
        <is>
          <t>PL</t>
        </is>
      </c>
      <c r="D12" s="25" t="inlineStr">
        <is>
          <t>FY28</t>
        </is>
      </c>
      <c r="E12" s="26" t="n">
        <v>800</v>
      </c>
      <c r="F12" s="27" t="n">
        <v>0.18</v>
      </c>
      <c r="G12" s="28">
        <f>E12*F12</f>
        <v/>
      </c>
      <c r="H12" s="29" t="n">
        <v>5</v>
      </c>
      <c r="I12" s="28">
        <f>G12*H12</f>
        <v/>
      </c>
      <c r="J12" s="30">
        <f>I12*(1-Inputs!$C$20)*(1-Inputs!$C$21)</f>
        <v/>
      </c>
      <c r="K12" s="30">
        <f>I12*Inputs!$C$20*(1-Inputs!$C$21)</f>
        <v/>
      </c>
      <c r="L12" s="30">
        <f>I12*Inputs!$C$21</f>
        <v/>
      </c>
    </row>
    <row r="13">
      <c r="B13" s="6" t="inlineStr">
        <is>
          <t>LEDGER-8 (CY audit bolt-on)</t>
        </is>
      </c>
      <c r="C13" s="25" t="inlineStr">
        <is>
          <t>CY</t>
        </is>
      </c>
      <c r="D13" s="25" t="inlineStr">
        <is>
          <t>FY28</t>
        </is>
      </c>
      <c r="E13" s="26" t="n">
        <v>500</v>
      </c>
      <c r="F13" s="27" t="n">
        <v>0.2</v>
      </c>
      <c r="G13" s="28">
        <f>E13*F13</f>
        <v/>
      </c>
      <c r="H13" s="29" t="n">
        <v>4.5</v>
      </c>
      <c r="I13" s="28">
        <f>G13*H13</f>
        <v/>
      </c>
      <c r="J13" s="30">
        <f>I13*(1-Inputs!$C$20)*(1-Inputs!$C$21)</f>
        <v/>
      </c>
      <c r="K13" s="30">
        <f>I13*Inputs!$C$20*(1-Inputs!$C$21)</f>
        <v/>
      </c>
      <c r="L13" s="30">
        <f>I13*Inputs!$C$21</f>
        <v/>
      </c>
    </row>
    <row r="14">
      <c r="B14" s="6" t="inlineStr">
        <is>
          <t>LEDGER-9 (IT bolt-on)</t>
        </is>
      </c>
      <c r="C14" s="25" t="inlineStr">
        <is>
          <t>IT</t>
        </is>
      </c>
      <c r="D14" s="25" t="inlineStr">
        <is>
          <t>FY29</t>
        </is>
      </c>
      <c r="E14" s="26" t="n">
        <v>1300</v>
      </c>
      <c r="F14" s="27" t="n">
        <v>0.15</v>
      </c>
      <c r="G14" s="28">
        <f>E14*F14</f>
        <v/>
      </c>
      <c r="H14" s="29" t="n">
        <v>6.5</v>
      </c>
      <c r="I14" s="28">
        <f>G14*H14</f>
        <v/>
      </c>
      <c r="J14" s="30">
        <f>I14*(1-Inputs!$C$20)*(1-Inputs!$C$21)</f>
        <v/>
      </c>
      <c r="K14" s="30">
        <f>I14*Inputs!$C$20*(1-Inputs!$C$21)</f>
        <v/>
      </c>
      <c r="L14" s="30">
        <f>I14*Inputs!$C$21</f>
        <v/>
      </c>
    </row>
    <row r="15">
      <c r="B15" s="6" t="inlineStr">
        <is>
          <t>LEDGER-10 (PL ERP niche)</t>
        </is>
      </c>
      <c r="C15" s="25" t="inlineStr">
        <is>
          <t>PL</t>
        </is>
      </c>
      <c r="D15" s="25" t="inlineStr">
        <is>
          <t>FY29</t>
        </is>
      </c>
      <c r="E15" s="26" t="n">
        <v>1000</v>
      </c>
      <c r="F15" s="27" t="n">
        <v>0.16</v>
      </c>
      <c r="G15" s="28">
        <f>E15*F15</f>
        <v/>
      </c>
      <c r="H15" s="29" t="n">
        <v>5</v>
      </c>
      <c r="I15" s="28">
        <f>G15*H15</f>
        <v/>
      </c>
      <c r="J15" s="30">
        <f>I15*(1-Inputs!$C$20)*(1-Inputs!$C$21)</f>
        <v/>
      </c>
      <c r="K15" s="30">
        <f>I15*Inputs!$C$20*(1-Inputs!$C$21)</f>
        <v/>
      </c>
      <c r="L15" s="30">
        <f>I15*Inputs!$C$21</f>
        <v/>
      </c>
    </row>
    <row r="16">
      <c r="B16" s="6" t="inlineStr">
        <is>
          <t>LEDGER-11 (CY corp services)</t>
        </is>
      </c>
      <c r="C16" s="25" t="inlineStr">
        <is>
          <t>CY</t>
        </is>
      </c>
      <c r="D16" s="25" t="inlineStr">
        <is>
          <t>FY29</t>
        </is>
      </c>
      <c r="E16" s="26" t="n">
        <v>600</v>
      </c>
      <c r="F16" s="27" t="n">
        <v>0.22</v>
      </c>
      <c r="G16" s="28">
        <f>E16*F16</f>
        <v/>
      </c>
      <c r="H16" s="29" t="n">
        <v>4.5</v>
      </c>
      <c r="I16" s="28">
        <f>G16*H16</f>
        <v/>
      </c>
      <c r="J16" s="30">
        <f>I16*(1-Inputs!$C$20)*(1-Inputs!$C$21)</f>
        <v/>
      </c>
      <c r="K16" s="30">
        <f>I16*Inputs!$C$20*(1-Inputs!$C$21)</f>
        <v/>
      </c>
      <c r="L16" s="30">
        <f>I16*Inputs!$C$21</f>
        <v/>
      </c>
    </row>
    <row r="17">
      <c r="B17" s="6" t="inlineStr">
        <is>
          <t>LEDGER-12 (IT scale-up)</t>
        </is>
      </c>
      <c r="C17" s="25" t="inlineStr">
        <is>
          <t>IT</t>
        </is>
      </c>
      <c r="D17" s="25" t="inlineStr">
        <is>
          <t>FY30</t>
        </is>
      </c>
      <c r="E17" s="26" t="n">
        <v>2000</v>
      </c>
      <c r="F17" s="27" t="n">
        <v>0.18</v>
      </c>
      <c r="G17" s="28">
        <f>E17*F17</f>
        <v/>
      </c>
      <c r="H17" s="29" t="n">
        <v>7</v>
      </c>
      <c r="I17" s="28">
        <f>G17*H17</f>
        <v/>
      </c>
      <c r="J17" s="30">
        <f>I17*(1-Inputs!$C$20)*(1-Inputs!$C$21)</f>
        <v/>
      </c>
      <c r="K17" s="30">
        <f>I17*Inputs!$C$20*(1-Inputs!$C$21)</f>
        <v/>
      </c>
      <c r="L17" s="30">
        <f>I17*Inputs!$C$21</f>
        <v/>
      </c>
    </row>
    <row r="18">
      <c r="B18" s="6" t="inlineStr">
        <is>
          <t>LEDGER-13 (PL bolt-on)</t>
        </is>
      </c>
      <c r="C18" s="25" t="inlineStr">
        <is>
          <t>PL</t>
        </is>
      </c>
      <c r="D18" s="25" t="inlineStr">
        <is>
          <t>FY30</t>
        </is>
      </c>
      <c r="E18" s="26" t="n">
        <v>900</v>
      </c>
      <c r="F18" s="27" t="n">
        <v>0.16</v>
      </c>
      <c r="G18" s="28">
        <f>E18*F18</f>
        <v/>
      </c>
      <c r="H18" s="29" t="n">
        <v>5</v>
      </c>
      <c r="I18" s="28">
        <f>G18*H18</f>
        <v/>
      </c>
      <c r="J18" s="30">
        <f>I18*(1-Inputs!$C$20)*(1-Inputs!$C$21)</f>
        <v/>
      </c>
      <c r="K18" s="30">
        <f>I18*Inputs!$C$20*(1-Inputs!$C$21)</f>
        <v/>
      </c>
      <c r="L18" s="30">
        <f>I18*Inputs!$C$21</f>
        <v/>
      </c>
    </row>
    <row r="19">
      <c r="B19" s="6" t="inlineStr">
        <is>
          <t>LEDGER-14 (PL e-invoice)</t>
        </is>
      </c>
      <c r="C19" s="25" t="inlineStr">
        <is>
          <t>PL</t>
        </is>
      </c>
      <c r="D19" s="25" t="inlineStr">
        <is>
          <t>FY30</t>
        </is>
      </c>
      <c r="E19" s="26" t="n">
        <v>1100</v>
      </c>
      <c r="F19" s="27" t="n">
        <v>0.17</v>
      </c>
      <c r="G19" s="28">
        <f>E19*F19</f>
        <v/>
      </c>
      <c r="H19" s="29" t="n">
        <v>5.5</v>
      </c>
      <c r="I19" s="28">
        <f>G19*H19</f>
        <v/>
      </c>
      <c r="J19" s="30">
        <f>I19*(1-Inputs!$C$20)*(1-Inputs!$C$21)</f>
        <v/>
      </c>
      <c r="K19" s="30">
        <f>I19*Inputs!$C$20*(1-Inputs!$C$21)</f>
        <v/>
      </c>
      <c r="L19" s="30">
        <f>I19*Inputs!$C$21</f>
        <v/>
      </c>
    </row>
    <row r="22">
      <c r="B22" s="6" t="inlineStr">
        <is>
          <t>TOTAL</t>
        </is>
      </c>
      <c r="E22" s="31">
        <f>SUM(E6:E19)</f>
        <v/>
      </c>
      <c r="F22" s="31">
        <f>SUM(F6:F19)</f>
        <v/>
      </c>
      <c r="G22" s="31">
        <f>SUM(G6:G19)</f>
        <v/>
      </c>
      <c r="H22" s="31">
        <f>SUM(H6:H19)</f>
        <v/>
      </c>
      <c r="I22" s="31">
        <f>SUM(I6:I19)</f>
        <v/>
      </c>
      <c r="J22" s="31">
        <f>SUM(J6:J19)</f>
        <v/>
      </c>
      <c r="K22" s="31">
        <f>SUM(K6:K19)</f>
        <v/>
      </c>
      <c r="L22" s="31">
        <f>SUM(L6:L19)</f>
        <v/>
      </c>
    </row>
    <row r="25">
      <c r="B25" s="2" t="inlineStr">
        <is>
          <t>DEPLOYED CAPITAL BY YEAR</t>
        </is>
      </c>
    </row>
    <row r="26">
      <c r="B26" s="9" t="inlineStr">
        <is>
          <t>Year</t>
        </is>
      </c>
      <c r="C26" s="9" t="inlineStr">
        <is>
          <t># deals</t>
        </is>
      </c>
      <c r="D26" s="9" t="inlineStr">
        <is>
          <t>Total EV (€k)</t>
        </is>
      </c>
      <c r="E26" s="9" t="inlineStr">
        <is>
          <t>Equity (€k)</t>
        </is>
      </c>
      <c r="F26" s="9" t="inlineStr">
        <is>
          <t>Debt (€k)</t>
        </is>
      </c>
      <c r="G26" s="9" t="inlineStr">
        <is>
          <t>Earnout (€k)</t>
        </is>
      </c>
    </row>
    <row r="27">
      <c r="B27" s="6" t="inlineStr">
        <is>
          <t>FY26</t>
        </is>
      </c>
      <c r="C27" s="32">
        <f>COUNTIF(D6:D19,"FY26")</f>
        <v/>
      </c>
      <c r="D27" s="28">
        <f>SUMIF($D$6:$D$19,"FY26",I$6:I$19)</f>
        <v/>
      </c>
      <c r="E27" s="28">
        <f>SUMIF($D$6:$D$19,"FY26",J$6:J$19)</f>
        <v/>
      </c>
      <c r="F27" s="28">
        <f>SUMIF($D$6:$D$19,"FY26",K$6:K$19)</f>
        <v/>
      </c>
      <c r="G27" s="28">
        <f>SUMIF($D$6:$D$19,"FY26",L$6:L$19)</f>
        <v/>
      </c>
    </row>
    <row r="28">
      <c r="B28" s="6" t="inlineStr">
        <is>
          <t>FY27</t>
        </is>
      </c>
      <c r="C28" s="32">
        <f>COUNTIF(D6:D19,"FY27")</f>
        <v/>
      </c>
      <c r="D28" s="28">
        <f>SUMIF($D$6:$D$19,"FY27",I$6:I$19)</f>
        <v/>
      </c>
      <c r="E28" s="28">
        <f>SUMIF($D$6:$D$19,"FY27",J$6:J$19)</f>
        <v/>
      </c>
      <c r="F28" s="28">
        <f>SUMIF($D$6:$D$19,"FY27",K$6:K$19)</f>
        <v/>
      </c>
      <c r="G28" s="28">
        <f>SUMIF($D$6:$D$19,"FY27",L$6:L$19)</f>
        <v/>
      </c>
    </row>
    <row r="29">
      <c r="B29" s="6" t="inlineStr">
        <is>
          <t>FY28</t>
        </is>
      </c>
      <c r="C29" s="32">
        <f>COUNTIF(D6:D19,"FY28")</f>
        <v/>
      </c>
      <c r="D29" s="28">
        <f>SUMIF($D$6:$D$19,"FY28",I$6:I$19)</f>
        <v/>
      </c>
      <c r="E29" s="28">
        <f>SUMIF($D$6:$D$19,"FY28",J$6:J$19)</f>
        <v/>
      </c>
      <c r="F29" s="28">
        <f>SUMIF($D$6:$D$19,"FY28",K$6:K$19)</f>
        <v/>
      </c>
      <c r="G29" s="28">
        <f>SUMIF($D$6:$D$19,"FY28",L$6:L$19)</f>
        <v/>
      </c>
    </row>
    <row r="30">
      <c r="B30" s="6" t="inlineStr">
        <is>
          <t>FY29</t>
        </is>
      </c>
      <c r="C30" s="32">
        <f>COUNTIF(D6:D19,"FY29")</f>
        <v/>
      </c>
      <c r="D30" s="28">
        <f>SUMIF($D$6:$D$19,"FY29",I$6:I$19)</f>
        <v/>
      </c>
      <c r="E30" s="28">
        <f>SUMIF($D$6:$D$19,"FY29",J$6:J$19)</f>
        <v/>
      </c>
      <c r="F30" s="28">
        <f>SUMIF($D$6:$D$19,"FY29",K$6:K$19)</f>
        <v/>
      </c>
      <c r="G30" s="28">
        <f>SUMIF($D$6:$D$19,"FY29",L$6:L$19)</f>
        <v/>
      </c>
    </row>
    <row r="31">
      <c r="B31" s="6" t="inlineStr">
        <is>
          <t>FY30</t>
        </is>
      </c>
      <c r="C31" s="32">
        <f>COUNTIF(D6:D19,"FY30")</f>
        <v/>
      </c>
      <c r="D31" s="28">
        <f>SUMIF($D$6:$D$19,"FY30",I$6:I$19)</f>
        <v/>
      </c>
      <c r="E31" s="28">
        <f>SUMIF($D$6:$D$19,"FY30",J$6:J$19)</f>
        <v/>
      </c>
      <c r="F31" s="28">
        <f>SUMIF($D$6:$D$19,"FY30",K$6:K$19)</f>
        <v/>
      </c>
      <c r="G31" s="28">
        <f>SUMIF($D$6:$D$19,"FY30",L$6:L$19)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8" t="inlineStr">
        <is>
          <t>CONSOLIDATED OPERATING BUILD</t>
        </is>
      </c>
    </row>
    <row r="3">
      <c r="B3" s="3" t="inlineStr">
        <is>
          <t>Bottom-up: acquired cohort revenue (full-year basis from acquisition year) × organic growth × AI margin ramp</t>
        </is>
      </c>
    </row>
    <row r="5">
      <c r="B5" s="9" t="inlineStr">
        <is>
          <t>Line</t>
        </is>
      </c>
      <c r="C5" s="10" t="inlineStr">
        <is>
          <t>FY26</t>
        </is>
      </c>
      <c r="D5" s="10" t="inlineStr">
        <is>
          <t>FY27</t>
        </is>
      </c>
      <c r="E5" s="10" t="inlineStr">
        <is>
          <t>FY28</t>
        </is>
      </c>
      <c r="F5" s="10" t="inlineStr">
        <is>
          <t>FY29</t>
        </is>
      </c>
      <c r="G5" s="10" t="inlineStr">
        <is>
          <t>FY30</t>
        </is>
      </c>
    </row>
    <row r="7">
      <c r="B7" s="6" t="inlineStr">
        <is>
          <t>Acquired cohort revenue (€k)</t>
        </is>
      </c>
      <c r="C7" s="30">
        <f>SUMIF('M&amp;A Schedule'!$D$6:$D$19,"FY26",'M&amp;A Schedule'!$E$6:$E$19)</f>
        <v/>
      </c>
      <c r="D7" s="30">
        <f>C7*(1+Inputs!$C$26)+SUMIF('M&amp;A Schedule'!$D$6:$D$19,"FY27",'M&amp;A Schedule'!$E$6:$E$19)</f>
        <v/>
      </c>
      <c r="E7" s="30">
        <f>D7*(1+Inputs!$C$26)+SUMIF('M&amp;A Schedule'!$D$6:$D$19,"FY28",'M&amp;A Schedule'!$E$6:$E$19)</f>
        <v/>
      </c>
      <c r="F7" s="30">
        <f>E7*(1+Inputs!$C$26)+SUMIF('M&amp;A Schedule'!$D$6:$D$19,"FY29",'M&amp;A Schedule'!$E$6:$E$19)</f>
        <v/>
      </c>
      <c r="G7" s="30">
        <f>F7*(1+Inputs!$C$26)+SUMIF('M&amp;A Schedule'!$D$6:$D$19,"FY30",'M&amp;A Schedule'!$E$6:$E$19)</f>
        <v/>
      </c>
    </row>
    <row r="9">
      <c r="B9" s="5" t="inlineStr">
        <is>
          <t>EBITDA margin: start (pre-uplift)</t>
        </is>
      </c>
      <c r="C9" s="33">
        <f>Inputs!$C$19</f>
        <v/>
      </c>
      <c r="D9" s="33">
        <f>Inputs!$C$19</f>
        <v/>
      </c>
      <c r="E9" s="33">
        <f>Inputs!$C$19</f>
        <v/>
      </c>
      <c r="F9" s="33">
        <f>Inputs!$C$19</f>
        <v/>
      </c>
      <c r="G9" s="33">
        <f>Inputs!$C$19</f>
        <v/>
      </c>
    </row>
    <row r="10">
      <c r="B10" s="5" t="inlineStr">
        <is>
          <t>EBITDA margin: AI uplift (years from FY27)</t>
        </is>
      </c>
      <c r="C10" s="27" t="n">
        <v>0</v>
      </c>
      <c r="D10" s="33">
        <f>MIN(C10+Inputs!$C$27,Inputs!$C$28-Inputs!$C$19)</f>
        <v/>
      </c>
      <c r="E10" s="33">
        <f>MIN(D10+Inputs!$C$27,Inputs!$C$28-Inputs!$C$19)</f>
        <v/>
      </c>
      <c r="F10" s="33">
        <f>MIN(E10+Inputs!$C$27,Inputs!$C$28-Inputs!$C$19)</f>
        <v/>
      </c>
      <c r="G10" s="33">
        <f>MIN(F10+Inputs!$C$27,Inputs!$C$28-Inputs!$C$19)</f>
        <v/>
      </c>
    </row>
    <row r="11">
      <c r="B11" s="6" t="inlineStr">
        <is>
          <t>EBITDA margin: total</t>
        </is>
      </c>
      <c r="C11" s="34">
        <f>C9+C10</f>
        <v/>
      </c>
      <c r="D11" s="34">
        <f>D9+D10</f>
        <v/>
      </c>
      <c r="E11" s="34">
        <f>E9+E10</f>
        <v/>
      </c>
      <c r="F11" s="34">
        <f>F9+F10</f>
        <v/>
      </c>
      <c r="G11" s="34">
        <f>G9+G10</f>
        <v/>
      </c>
    </row>
    <row r="13">
      <c r="B13" s="6" t="inlineStr">
        <is>
          <t>Cohort EBITDA (€k)</t>
        </is>
      </c>
      <c r="C13" s="28">
        <f>C7*C11</f>
        <v/>
      </c>
      <c r="D13" s="28">
        <f>D7*D11</f>
        <v/>
      </c>
      <c r="E13" s="28">
        <f>E7*E11</f>
        <v/>
      </c>
      <c r="F13" s="28">
        <f>F7*F11</f>
        <v/>
      </c>
      <c r="G13" s="28">
        <f>G7*G11</f>
        <v/>
      </c>
    </row>
    <row r="15">
      <c r="B15" s="5" t="inlineStr">
        <is>
          <t>Holdco SG&amp;A (€k)</t>
        </is>
      </c>
      <c r="C15" s="30">
        <f>-Inputs!$C$29</f>
        <v/>
      </c>
      <c r="D15" s="28">
        <f>C15*(1+Inputs!$C$30)</f>
        <v/>
      </c>
      <c r="E15" s="28">
        <f>D15*(1+Inputs!$C$30)</f>
        <v/>
      </c>
      <c r="F15" s="28">
        <f>E15*(1+Inputs!$C$30)</f>
        <v/>
      </c>
      <c r="G15" s="28">
        <f>F15*(1+Inputs!$C$30)</f>
        <v/>
      </c>
    </row>
    <row r="16">
      <c r="B16" s="5" t="inlineStr">
        <is>
          <t>Integration costs (one-time, €k)</t>
        </is>
      </c>
      <c r="C16" s="30">
        <f>-SUMIF('M&amp;A Schedule'!$D$6:$D$19,"FY26",'M&amp;A Schedule'!$E$6:$E$19)*Inputs!$C$31</f>
        <v/>
      </c>
      <c r="D16" s="30">
        <f>-SUMIF('M&amp;A Schedule'!$D$6:$D$19,"FY27",'M&amp;A Schedule'!$E$6:$E$19)*Inputs!$C$31</f>
        <v/>
      </c>
      <c r="E16" s="30">
        <f>-SUMIF('M&amp;A Schedule'!$D$6:$D$19,"FY28",'M&amp;A Schedule'!$E$6:$E$19)*Inputs!$C$31</f>
        <v/>
      </c>
      <c r="F16" s="30">
        <f>-SUMIF('M&amp;A Schedule'!$D$6:$D$19,"FY29",'M&amp;A Schedule'!$E$6:$E$19)*Inputs!$C$31</f>
        <v/>
      </c>
      <c r="G16" s="30">
        <f>-SUMIF('M&amp;A Schedule'!$D$6:$D$19,"FY30",'M&amp;A Schedule'!$E$6:$E$19)*Inputs!$C$31</f>
        <v/>
      </c>
    </row>
    <row r="18">
      <c r="B18" s="35" t="inlineStr">
        <is>
          <t>GROUP EBITDA (€k)</t>
        </is>
      </c>
      <c r="C18" s="36">
        <f>C13+C15+C16</f>
        <v/>
      </c>
      <c r="D18" s="36">
        <f>D13+D15+D16</f>
        <v/>
      </c>
      <c r="E18" s="36">
        <f>E13+E15+E16</f>
        <v/>
      </c>
      <c r="F18" s="36">
        <f>F13+F15+F16</f>
        <v/>
      </c>
      <c r="G18" s="36">
        <f>G13+G15+G16</f>
        <v/>
      </c>
    </row>
    <row r="19">
      <c r="B19" s="6" t="inlineStr">
        <is>
          <t>Group EBITDA margin</t>
        </is>
      </c>
      <c r="C19" s="37">
        <f>IFERROR(C18/C7,0)</f>
        <v/>
      </c>
      <c r="D19" s="37">
        <f>IFERROR(D18/D7,0)</f>
        <v/>
      </c>
      <c r="E19" s="37">
        <f>IFERROR(E18/E7,0)</f>
        <v/>
      </c>
      <c r="F19" s="37">
        <f>IFERROR(F18/F7,0)</f>
        <v/>
      </c>
      <c r="G19" s="37">
        <f>IFERROR(G18/G7,0)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8" t="inlineStr">
        <is>
          <t>INCOME STATEMENT (EUR '000)</t>
        </is>
      </c>
    </row>
    <row r="5">
      <c r="B5" s="9" t="inlineStr">
        <is>
          <t>Line</t>
        </is>
      </c>
      <c r="C5" s="10" t="inlineStr">
        <is>
          <t>FY26</t>
        </is>
      </c>
      <c r="D5" s="10" t="inlineStr">
        <is>
          <t>FY27</t>
        </is>
      </c>
      <c r="E5" s="10" t="inlineStr">
        <is>
          <t>FY28</t>
        </is>
      </c>
      <c r="F5" s="10" t="inlineStr">
        <is>
          <t>FY29</t>
        </is>
      </c>
      <c r="G5" s="10" t="inlineStr">
        <is>
          <t>FY30</t>
        </is>
      </c>
    </row>
    <row r="7">
      <c r="B7" s="6" t="inlineStr">
        <is>
          <t>Revenue</t>
        </is>
      </c>
      <c r="C7" s="38">
        <f>Operating!C7</f>
        <v/>
      </c>
      <c r="D7" s="38">
        <f>Operating!D7</f>
        <v/>
      </c>
      <c r="E7" s="38">
        <f>Operating!E7</f>
        <v/>
      </c>
      <c r="F7" s="38">
        <f>Operating!F7</f>
        <v/>
      </c>
      <c r="G7" s="38">
        <f>Operating!G7</f>
        <v/>
      </c>
    </row>
    <row r="8">
      <c r="B8" s="6" t="inlineStr">
        <is>
          <t>EBITDA</t>
        </is>
      </c>
      <c r="C8" s="38">
        <f>Operating!C18</f>
        <v/>
      </c>
      <c r="D8" s="38">
        <f>Operating!D18</f>
        <v/>
      </c>
      <c r="E8" s="38">
        <f>Operating!E18</f>
        <v/>
      </c>
      <c r="F8" s="38">
        <f>Operating!F18</f>
        <v/>
      </c>
      <c r="G8" s="38">
        <f>Operating!G18</f>
        <v/>
      </c>
    </row>
    <row r="9">
      <c r="B9" s="5" t="inlineStr">
        <is>
          <t>D&amp;A</t>
        </is>
      </c>
      <c r="C9" s="28">
        <f>-C7*Inputs!$C$32</f>
        <v/>
      </c>
      <c r="D9" s="28">
        <f>-D7*Inputs!$C$32</f>
        <v/>
      </c>
      <c r="E9" s="28">
        <f>-E7*Inputs!$C$32</f>
        <v/>
      </c>
      <c r="F9" s="28">
        <f>-F7*Inputs!$C$32</f>
        <v/>
      </c>
      <c r="G9" s="28">
        <f>-G7*Inputs!$C$32</f>
        <v/>
      </c>
    </row>
    <row r="10">
      <c r="B10" s="6" t="inlineStr">
        <is>
          <t>EBIT</t>
        </is>
      </c>
      <c r="C10" s="39">
        <f>C8+C9</f>
        <v/>
      </c>
      <c r="D10" s="39">
        <f>D8+D9</f>
        <v/>
      </c>
      <c r="E10" s="39">
        <f>E8+E9</f>
        <v/>
      </c>
      <c r="F10" s="39">
        <f>F8+F9</f>
        <v/>
      </c>
      <c r="G10" s="39">
        <f>G8+G9</f>
        <v/>
      </c>
    </row>
    <row r="11">
      <c r="B11" s="5" t="inlineStr">
        <is>
          <t>Interest expense</t>
        </is>
      </c>
      <c r="C11" s="28">
        <f>-Debt!C11</f>
        <v/>
      </c>
      <c r="D11" s="28">
        <f>-Debt!D11</f>
        <v/>
      </c>
      <c r="E11" s="28">
        <f>-Debt!E11</f>
        <v/>
      </c>
      <c r="F11" s="28">
        <f>-Debt!F11</f>
        <v/>
      </c>
      <c r="G11" s="28">
        <f>-Debt!G11</f>
        <v/>
      </c>
    </row>
    <row r="12">
      <c r="B12" s="6" t="inlineStr">
        <is>
          <t>EBT</t>
        </is>
      </c>
      <c r="C12" s="40">
        <f>C10+C11</f>
        <v/>
      </c>
      <c r="D12" s="40">
        <f>D10+D11</f>
        <v/>
      </c>
      <c r="E12" s="40">
        <f>E10+E11</f>
        <v/>
      </c>
      <c r="F12" s="40">
        <f>F10+F11</f>
        <v/>
      </c>
      <c r="G12" s="40">
        <f>G10+G11</f>
        <v/>
      </c>
    </row>
    <row r="13">
      <c r="B13" s="5" t="inlineStr">
        <is>
          <t>Tax</t>
        </is>
      </c>
      <c r="C13" s="28">
        <f>IF(C12&lt;0,0,-C12*Inputs!$C$13)</f>
        <v/>
      </c>
      <c r="D13" s="28">
        <f>IF(D12&lt;0,0,-D12*Inputs!$C$13)</f>
        <v/>
      </c>
      <c r="E13" s="28">
        <f>IF(E12&lt;0,0,-E12*Inputs!$C$13)</f>
        <v/>
      </c>
      <c r="F13" s="28">
        <f>IF(F12&lt;0,0,-F12*Inputs!$C$13)</f>
        <v/>
      </c>
      <c r="G13" s="28">
        <f>IF(G12&lt;0,0,-G12*Inputs!$C$13)</f>
        <v/>
      </c>
    </row>
    <row r="14">
      <c r="B14" s="6" t="inlineStr">
        <is>
          <t>NET INCOME</t>
        </is>
      </c>
      <c r="C14" s="36">
        <f>C12+C13</f>
        <v/>
      </c>
      <c r="D14" s="36">
        <f>D12+D13</f>
        <v/>
      </c>
      <c r="E14" s="36">
        <f>E12+E13</f>
        <v/>
      </c>
      <c r="F14" s="36">
        <f>F12+F13</f>
        <v/>
      </c>
      <c r="G14" s="36">
        <f>G12+G13</f>
        <v/>
      </c>
    </row>
    <row r="20">
      <c r="B20" t="inlineStr">
        <is>
          <t>NI (for check)</t>
        </is>
      </c>
      <c r="C20" s="28">
        <f>C14</f>
        <v/>
      </c>
      <c r="D20" s="28">
        <f>D14</f>
        <v/>
      </c>
      <c r="E20" s="28">
        <f>E14</f>
        <v/>
      </c>
      <c r="F20" s="28">
        <f>F14</f>
        <v/>
      </c>
      <c r="G20" s="28">
        <f>G14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8" t="inlineStr">
        <is>
          <t>BALANCE SHEET (EUR '000)</t>
        </is>
      </c>
    </row>
    <row r="3">
      <c r="B3" s="3" t="inlineStr">
        <is>
          <t>Simplified for pre-Series-A pitch; full BS to be modeled with detailed WC, PP&amp;E rolls in v2.</t>
        </is>
      </c>
    </row>
    <row r="5">
      <c r="B5" s="9" t="inlineStr">
        <is>
          <t>Line</t>
        </is>
      </c>
      <c r="C5" s="10" t="inlineStr">
        <is>
          <t>FY26</t>
        </is>
      </c>
      <c r="D5" s="10" t="inlineStr">
        <is>
          <t>FY27</t>
        </is>
      </c>
      <c r="E5" s="10" t="inlineStr">
        <is>
          <t>FY28</t>
        </is>
      </c>
      <c r="F5" s="10" t="inlineStr">
        <is>
          <t>FY29</t>
        </is>
      </c>
      <c r="G5" s="10" t="inlineStr">
        <is>
          <t>FY30</t>
        </is>
      </c>
    </row>
    <row r="7">
      <c r="B7" t="inlineStr">
        <is>
          <t>Cash &amp; equivalents</t>
        </is>
      </c>
      <c r="C7" s="30">
        <f>CF!C30</f>
        <v/>
      </c>
      <c r="D7" s="30">
        <f>CF!D30</f>
        <v/>
      </c>
      <c r="E7" s="30">
        <f>CF!E30</f>
        <v/>
      </c>
      <c r="F7" s="30">
        <f>CF!F30</f>
        <v/>
      </c>
      <c r="G7" s="30">
        <f>CF!G30</f>
        <v/>
      </c>
    </row>
    <row r="8">
      <c r="B8" t="inlineStr">
        <is>
          <t>Goodwill &amp; intangibles (cum.)</t>
        </is>
      </c>
      <c r="C8" s="30">
        <f>'M&amp;A Schedule'!D27</f>
        <v/>
      </c>
      <c r="D8" s="30">
        <f>C8+'M&amp;A Schedule'!D27</f>
        <v/>
      </c>
      <c r="E8" s="30">
        <f>D8+'M&amp;A Schedule'!E27</f>
        <v/>
      </c>
      <c r="F8" s="30">
        <f>E8+'M&amp;A Schedule'!F27</f>
        <v/>
      </c>
      <c r="G8" s="30">
        <f>F8+'M&amp;A Schedule'!G27</f>
        <v/>
      </c>
    </row>
    <row r="9">
      <c r="B9" t="inlineStr">
        <is>
          <t>Working capital (NWC)</t>
        </is>
      </c>
      <c r="C9" s="30">
        <f>IS!C7*Inputs!$C$34/365</f>
        <v/>
      </c>
      <c r="D9" s="30">
        <f>IS!D7*Inputs!$C$34/365</f>
        <v/>
      </c>
      <c r="E9" s="30">
        <f>IS!E7*Inputs!$C$34/365</f>
        <v/>
      </c>
      <c r="F9" s="30">
        <f>IS!F7*Inputs!$C$34/365</f>
        <v/>
      </c>
      <c r="G9" s="30">
        <f>IS!G7*Inputs!$C$34/365</f>
        <v/>
      </c>
    </row>
    <row r="10">
      <c r="B10" t="inlineStr">
        <is>
          <t>PP&amp;E (cumulative capex - D&amp;A)</t>
        </is>
      </c>
      <c r="C10" s="30">
        <f>IS!C7*Inputs!$C$33+IS!C9</f>
        <v/>
      </c>
      <c r="D10" s="30">
        <f>C10+IS!D7*Inputs!$C$33+IS!D9</f>
        <v/>
      </c>
      <c r="E10" s="30">
        <f>D10+IS!E7*Inputs!$C$33+IS!E9</f>
        <v/>
      </c>
      <c r="F10" s="30">
        <f>E10+IS!F7*Inputs!$C$33+IS!F9</f>
        <v/>
      </c>
      <c r="G10" s="30">
        <f>F10+IS!G7*Inputs!$C$33+IS!G9</f>
        <v/>
      </c>
    </row>
    <row r="25">
      <c r="B25" s="6" t="inlineStr">
        <is>
          <t>TOTAL ASSETS</t>
        </is>
      </c>
      <c r="C25" s="36">
        <f>C7+C8+C9+C10</f>
        <v/>
      </c>
      <c r="D25" s="36">
        <f>D7+D8+D9+D10</f>
        <v/>
      </c>
      <c r="E25" s="36">
        <f>E7+E8+E9+E10</f>
        <v/>
      </c>
      <c r="F25" s="36">
        <f>F7+F8+F9+F10</f>
        <v/>
      </c>
      <c r="G25" s="36">
        <f>G7+G8+G9+G10</f>
        <v/>
      </c>
    </row>
    <row r="27">
      <c r="B27" t="inlineStr">
        <is>
          <t>Debt</t>
        </is>
      </c>
      <c r="C27" s="30">
        <f>Debt!C10</f>
        <v/>
      </c>
      <c r="D27" s="30">
        <f>Debt!D10</f>
        <v/>
      </c>
      <c r="E27" s="30">
        <f>Debt!E10</f>
        <v/>
      </c>
      <c r="F27" s="30">
        <f>Debt!F10</f>
        <v/>
      </c>
      <c r="G27" s="30">
        <f>Debt!G10</f>
        <v/>
      </c>
    </row>
    <row r="28">
      <c r="B28" t="inlineStr">
        <is>
          <t>Earnout liability</t>
        </is>
      </c>
      <c r="C28" s="30">
        <f>'M&amp;A Schedule'!G27</f>
        <v/>
      </c>
      <c r="D28" s="30">
        <f>C28+'M&amp;A Schedule'!D27*0.5-C28*0.5</f>
        <v/>
      </c>
      <c r="E28" s="30">
        <f>D28+'M&amp;A Schedule'!E27*0.5-D28*0.5</f>
        <v/>
      </c>
      <c r="F28" s="30">
        <f>E28+'M&amp;A Schedule'!F27*0.5-E28*0.5</f>
        <v/>
      </c>
      <c r="G28" s="30">
        <f>F28+'M&amp;A Schedule'!G27*0.5-F28*0.5</f>
        <v/>
      </c>
    </row>
    <row r="30">
      <c r="B30" t="inlineStr">
        <is>
          <t>Paid-in capital</t>
        </is>
      </c>
      <c r="C30" s="30">
        <f>Inputs!$C$15+Inputs!$C$16+Inputs!$C$17</f>
        <v/>
      </c>
      <c r="D30" s="28">
        <f>C30</f>
        <v/>
      </c>
      <c r="E30" s="28">
        <f>D30</f>
        <v/>
      </c>
      <c r="F30" s="28">
        <f>E30</f>
        <v/>
      </c>
      <c r="G30" s="28">
        <f>F30</f>
        <v/>
      </c>
    </row>
    <row r="31">
      <c r="B31" t="inlineStr">
        <is>
          <t>Retained earnings</t>
        </is>
      </c>
      <c r="C31" s="30">
        <f>IS!C14</f>
        <v/>
      </c>
      <c r="D31" s="30">
        <f>C31+IS!D14</f>
        <v/>
      </c>
      <c r="E31" s="30">
        <f>D31+IS!E14</f>
        <v/>
      </c>
      <c r="F31" s="30">
        <f>E31+IS!F14</f>
        <v/>
      </c>
      <c r="G31" s="30">
        <f>F31+IS!G14</f>
        <v/>
      </c>
    </row>
    <row r="40">
      <c r="B40" s="6" t="inlineStr">
        <is>
          <t>TOTAL LIAB + EQUITY</t>
        </is>
      </c>
      <c r="C40" s="36">
        <f>C27+C28+C30+C31</f>
        <v/>
      </c>
      <c r="D40" s="36">
        <f>D27+D28+D30+D31</f>
        <v/>
      </c>
      <c r="E40" s="36">
        <f>E27+E28+E30+E31</f>
        <v/>
      </c>
      <c r="F40" s="36">
        <f>F27+F28+F30+F31</f>
        <v/>
      </c>
      <c r="G40" s="36">
        <f>G27+G28+G30+G31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8" t="inlineStr">
        <is>
          <t>CASH FLOW STATEMENT (EUR '000)</t>
        </is>
      </c>
    </row>
    <row r="5">
      <c r="B5" t="inlineStr">
        <is>
          <t>Net income</t>
        </is>
      </c>
      <c r="C5" s="30">
        <f>IS!C14</f>
        <v/>
      </c>
      <c r="D5" s="30">
        <f>IS!D14</f>
        <v/>
      </c>
      <c r="E5" s="30">
        <f>IS!E14</f>
        <v/>
      </c>
      <c r="F5" s="30">
        <f>IS!F14</f>
        <v/>
      </c>
      <c r="G5" s="30">
        <f>IS!G14</f>
        <v/>
      </c>
    </row>
    <row r="6">
      <c r="B6" t="inlineStr">
        <is>
          <t>+ D&amp;A</t>
        </is>
      </c>
      <c r="C6" s="30">
        <f>-IS!C9</f>
        <v/>
      </c>
      <c r="D6" s="30">
        <f>-IS!D9</f>
        <v/>
      </c>
      <c r="E6" s="30">
        <f>-IS!E9</f>
        <v/>
      </c>
      <c r="F6" s="30">
        <f>-IS!F9</f>
        <v/>
      </c>
      <c r="G6" s="30">
        <f>-IS!G9</f>
        <v/>
      </c>
    </row>
    <row r="7">
      <c r="B7" t="inlineStr">
        <is>
          <t>− Δ NWC</t>
        </is>
      </c>
      <c r="C7" s="30">
        <f>-BS!C9</f>
        <v/>
      </c>
      <c r="D7" s="30">
        <f>-(BS!D9-BS!C9)</f>
        <v/>
      </c>
      <c r="E7" s="30">
        <f>-(BS!E9-BS!D9)</f>
        <v/>
      </c>
      <c r="F7" s="30">
        <f>-(BS!F9-BS!E9)</f>
        <v/>
      </c>
      <c r="G7" s="30">
        <f>-(BS!G9-BS!F9)</f>
        <v/>
      </c>
    </row>
    <row r="8">
      <c r="B8" s="6" t="inlineStr">
        <is>
          <t>OP CASH FLOW</t>
        </is>
      </c>
      <c r="C8" s="38">
        <f>C5+C6+C7</f>
        <v/>
      </c>
      <c r="D8" s="38">
        <f>D5+D6+D7</f>
        <v/>
      </c>
      <c r="E8" s="38">
        <f>E5+E6+E7</f>
        <v/>
      </c>
      <c r="F8" s="38">
        <f>F5+F6+F7</f>
        <v/>
      </c>
      <c r="G8" s="38">
        <f>G5+G6+G7</f>
        <v/>
      </c>
    </row>
    <row r="10">
      <c r="B10" t="inlineStr">
        <is>
          <t>− Capex</t>
        </is>
      </c>
      <c r="C10" s="30">
        <f>-IS!C7*Inputs!$C$33</f>
        <v/>
      </c>
      <c r="D10" s="30">
        <f>-IS!D7*Inputs!$C$33</f>
        <v/>
      </c>
      <c r="E10" s="30">
        <f>-IS!E7*Inputs!$C$33</f>
        <v/>
      </c>
      <c r="F10" s="30">
        <f>-IS!F7*Inputs!$C$33</f>
        <v/>
      </c>
      <c r="G10" s="30">
        <f>-IS!G7*Inputs!$C$33</f>
        <v/>
      </c>
    </row>
    <row r="11">
      <c r="B11" t="inlineStr">
        <is>
          <t>− Acquisitions (equity portion)</t>
        </is>
      </c>
      <c r="C11" s="30">
        <f>-'M&amp;A Schedule'!C29</f>
        <v/>
      </c>
      <c r="D11" s="30">
        <f>-'M&amp;A Schedule'!D29</f>
        <v/>
      </c>
      <c r="E11" s="30">
        <f>-'M&amp;A Schedule'!E29</f>
        <v/>
      </c>
      <c r="F11" s="30">
        <f>-'M&amp;A Schedule'!F29</f>
        <v/>
      </c>
      <c r="G11" s="30">
        <f>-'M&amp;A Schedule'!G29</f>
        <v/>
      </c>
    </row>
    <row r="12">
      <c r="B12" s="6" t="inlineStr">
        <is>
          <t>INVESTING CASH FLOW</t>
        </is>
      </c>
      <c r="C12" s="38">
        <f>C10+C11</f>
        <v/>
      </c>
      <c r="D12" s="38">
        <f>D10+D11</f>
        <v/>
      </c>
      <c r="E12" s="38">
        <f>E10+E11</f>
        <v/>
      </c>
      <c r="F12" s="38">
        <f>F10+F11</f>
        <v/>
      </c>
      <c r="G12" s="38">
        <f>G10+G11</f>
        <v/>
      </c>
    </row>
    <row r="14">
      <c r="B14" t="inlineStr">
        <is>
          <t>+ Debt drawings</t>
        </is>
      </c>
      <c r="C14" s="30">
        <f>Debt!C9</f>
        <v/>
      </c>
      <c r="D14" s="30">
        <f>Debt!D9</f>
        <v/>
      </c>
      <c r="E14" s="30">
        <f>Debt!E9</f>
        <v/>
      </c>
      <c r="F14" s="30">
        <f>Debt!F9</f>
        <v/>
      </c>
      <c r="G14" s="30">
        <f>Debt!G9</f>
        <v/>
      </c>
    </row>
    <row r="15">
      <c r="B15" t="inlineStr">
        <is>
          <t>+ Equity raised (one-time per round)</t>
        </is>
      </c>
      <c r="C15" s="30">
        <f>Inputs!$C$15+Inputs!$C$16</f>
        <v/>
      </c>
      <c r="D15" s="30">
        <f>Inputs!$C$17</f>
        <v/>
      </c>
      <c r="E15" s="26" t="n">
        <v>0</v>
      </c>
      <c r="F15" s="26" t="n">
        <v>0</v>
      </c>
      <c r="G15" s="26" t="n">
        <v>0</v>
      </c>
    </row>
    <row r="16">
      <c r="B16" s="6" t="inlineStr">
        <is>
          <t>FINANCING CASH FLOW</t>
        </is>
      </c>
      <c r="C16" s="38">
        <f>C14+C15</f>
        <v/>
      </c>
      <c r="D16" s="38">
        <f>D14+D15</f>
        <v/>
      </c>
      <c r="E16" s="38">
        <f>E14+E15</f>
        <v/>
      </c>
      <c r="F16" s="38">
        <f>F14+F15</f>
        <v/>
      </c>
      <c r="G16" s="38">
        <f>G14+G15</f>
        <v/>
      </c>
    </row>
    <row r="18">
      <c r="B18" s="6" t="inlineStr">
        <is>
          <t>NET CHANGE IN CASH</t>
        </is>
      </c>
      <c r="C18" s="38">
        <f>C8+C12+C16</f>
        <v/>
      </c>
      <c r="D18" s="38">
        <f>D8+D12+D16</f>
        <v/>
      </c>
      <c r="E18" s="38">
        <f>E8+E12+E16</f>
        <v/>
      </c>
      <c r="F18" s="38">
        <f>F8+F12+F16</f>
        <v/>
      </c>
      <c r="G18" s="38">
        <f>G8+G12+G16</f>
        <v/>
      </c>
    </row>
    <row r="29">
      <c r="B29" t="inlineStr">
        <is>
          <t>Opening cash</t>
        </is>
      </c>
      <c r="C29" s="26" t="n">
        <v>0</v>
      </c>
      <c r="D29" s="28">
        <f>C30</f>
        <v/>
      </c>
      <c r="E29" s="28">
        <f>D30</f>
        <v/>
      </c>
      <c r="F29" s="28">
        <f>E30</f>
        <v/>
      </c>
      <c r="G29" s="28">
        <f>F30</f>
        <v/>
      </c>
    </row>
    <row r="30">
      <c r="B30" s="6" t="inlineStr">
        <is>
          <t>CLOSING CASH</t>
        </is>
      </c>
      <c r="C30" s="36">
        <f>C29+C18</f>
        <v/>
      </c>
      <c r="D30" s="36">
        <f>D29+D18</f>
        <v/>
      </c>
      <c r="E30" s="36">
        <f>E29+E18</f>
        <v/>
      </c>
      <c r="F30" s="36">
        <f>F29+F18</f>
        <v/>
      </c>
      <c r="G30" s="36">
        <f>G29+G18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8" t="inlineStr">
        <is>
          <t>ACQUISITION DEBT SCHEDULE</t>
        </is>
      </c>
    </row>
    <row r="3">
      <c r="B3" s="3" t="inlineStr">
        <is>
          <t>Simplified: each year's acquisition debt assumed drawn at start of year, interest accrued at year-end.</t>
        </is>
      </c>
    </row>
    <row r="5">
      <c r="B5" s="9" t="inlineStr">
        <is>
          <t>Line</t>
        </is>
      </c>
      <c r="C5" s="10" t="inlineStr">
        <is>
          <t>FY26</t>
        </is>
      </c>
      <c r="D5" s="10" t="inlineStr">
        <is>
          <t>FY27</t>
        </is>
      </c>
      <c r="E5" s="10" t="inlineStr">
        <is>
          <t>FY28</t>
        </is>
      </c>
      <c r="F5" s="10" t="inlineStr">
        <is>
          <t>FY29</t>
        </is>
      </c>
      <c r="G5" s="10" t="inlineStr">
        <is>
          <t>FY30</t>
        </is>
      </c>
    </row>
    <row r="7">
      <c r="B7" t="inlineStr">
        <is>
          <t>New debt drawn (€k)</t>
        </is>
      </c>
      <c r="C7" s="30">
        <f>'M&amp;A Schedule'!C28</f>
        <v/>
      </c>
      <c r="D7" s="30">
        <f>'M&amp;A Schedule'!D28</f>
        <v/>
      </c>
      <c r="E7" s="30">
        <f>'M&amp;A Schedule'!E28</f>
        <v/>
      </c>
      <c r="F7" s="30">
        <f>'M&amp;A Schedule'!F28</f>
        <v/>
      </c>
      <c r="G7" s="30">
        <f>'M&amp;A Schedule'!G28</f>
        <v/>
      </c>
    </row>
    <row r="8">
      <c r="B8" t="inlineStr">
        <is>
          <t>Opening debt balance</t>
        </is>
      </c>
      <c r="C8" s="26" t="n">
        <v>0</v>
      </c>
      <c r="D8" s="28">
        <f>C10</f>
        <v/>
      </c>
      <c r="E8" s="28">
        <f>D10</f>
        <v/>
      </c>
      <c r="F8" s="28">
        <f>E10</f>
        <v/>
      </c>
      <c r="G8" s="28">
        <f>F10</f>
        <v/>
      </c>
    </row>
    <row r="9">
      <c r="B9" t="inlineStr">
        <is>
          <t>+ New drawings</t>
        </is>
      </c>
      <c r="C9" s="28">
        <f>C7</f>
        <v/>
      </c>
      <c r="D9" s="28">
        <f>D7</f>
        <v/>
      </c>
      <c r="E9" s="28">
        <f>E7</f>
        <v/>
      </c>
      <c r="F9" s="28">
        <f>F7</f>
        <v/>
      </c>
      <c r="G9" s="28">
        <f>G7</f>
        <v/>
      </c>
    </row>
    <row r="10">
      <c r="B10" s="6" t="inlineStr">
        <is>
          <t>CLOSING debt balance</t>
        </is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  <c r="G10" s="36">
        <f>G8+G9</f>
        <v/>
      </c>
    </row>
    <row r="11">
      <c r="B11" s="5" t="inlineStr">
        <is>
          <t>Interest expense (€k)</t>
        </is>
      </c>
      <c r="C11" s="28">
        <f>AVERAGE(C8,C10)*Inputs!$C$22</f>
        <v/>
      </c>
      <c r="D11" s="28">
        <f>AVERAGE(D8,D10)*Inputs!$C$22</f>
        <v/>
      </c>
      <c r="E11" s="28">
        <f>AVERAGE(E8,E10)*Inputs!$C$22</f>
        <v/>
      </c>
      <c r="F11" s="28">
        <f>AVERAGE(F8,F10)*Inputs!$C$22</f>
        <v/>
      </c>
      <c r="G11" s="28">
        <f>AVERAGE(G8,G10)*Inputs!$C$22</f>
        <v/>
      </c>
    </row>
    <row r="13">
      <c r="B13" s="6" t="inlineStr">
        <is>
          <t>Net debt / EBITDA</t>
        </is>
      </c>
      <c r="C13" s="41">
        <f>IFERROR(C10/IS!C8,0)</f>
        <v/>
      </c>
      <c r="D13" s="41">
        <f>IFERROR(D10/IS!D8,0)</f>
        <v/>
      </c>
      <c r="E13" s="41">
        <f>IFERROR(E10/IS!E8,0)</f>
        <v/>
      </c>
      <c r="F13" s="41">
        <f>IFERROR(F10/IS!F8,0)</f>
        <v/>
      </c>
      <c r="G13" s="41">
        <f>IFERROR(G10/IS!G8,0)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</cols>
  <sheetData>
    <row r="2">
      <c r="B2" s="8" t="inlineStr">
        <is>
          <t>SCENARIO MATRIX</t>
        </is>
      </c>
    </row>
    <row r="3">
      <c r="B3" s="3" t="inlineStr">
        <is>
          <t>Toggle scenario on Cover sheet (cell C16): 1=Base, 2=Bull, 3=Bear</t>
        </is>
      </c>
    </row>
    <row r="5">
      <c r="B5" s="10" t="inlineStr">
        <is>
          <t>Driver</t>
        </is>
      </c>
      <c r="C5" s="10" t="inlineStr">
        <is>
          <t>Base</t>
        </is>
      </c>
      <c r="D5" s="10" t="inlineStr">
        <is>
          <t>Bull</t>
        </is>
      </c>
      <c r="E5" s="10" t="inlineStr">
        <is>
          <t>Bear</t>
        </is>
      </c>
    </row>
    <row r="6">
      <c r="B6" s="5" t="inlineStr">
        <is>
          <t>Entry EV/EBITDA multiple</t>
        </is>
      </c>
      <c r="C6" s="20" t="n">
        <v>4.5</v>
      </c>
      <c r="D6" s="20" t="n">
        <v>3.8</v>
      </c>
      <c r="E6" s="20" t="n">
        <v>5.5</v>
      </c>
    </row>
    <row r="7">
      <c r="B7" s="5" t="inlineStr">
        <is>
          <t>Exit EV/EBITDA multiple (Y5)</t>
        </is>
      </c>
      <c r="C7" s="20" t="n">
        <v>10</v>
      </c>
      <c r="D7" s="20" t="n">
        <v>13</v>
      </c>
      <c r="E7" s="20" t="n">
        <v>7</v>
      </c>
    </row>
    <row r="8">
      <c r="B8" s="5" t="inlineStr">
        <is>
          <t>Organic growth</t>
        </is>
      </c>
      <c r="C8" s="17" t="n">
        <v>0.08</v>
      </c>
      <c r="D8" s="17" t="n">
        <v>0.14</v>
      </c>
      <c r="E8" s="17" t="n">
        <v>0.03</v>
      </c>
    </row>
    <row r="9">
      <c r="B9" s="5" t="inlineStr">
        <is>
          <t>EBITDA AI uplift per year</t>
        </is>
      </c>
      <c r="C9" s="17" t="n">
        <v>0.04</v>
      </c>
      <c r="D9" s="17" t="n">
        <v>0.06</v>
      </c>
      <c r="E9" s="17" t="n">
        <v>0.02</v>
      </c>
    </row>
    <row r="10">
      <c r="B10" s="5" t="inlineStr">
        <is>
          <t>Mature EBITDA margin cap</t>
        </is>
      </c>
      <c r="C10" s="17" t="n">
        <v>0.3</v>
      </c>
      <c r="D10" s="17" t="n">
        <v>0.38</v>
      </c>
      <c r="E10" s="17" t="n">
        <v>0.22</v>
      </c>
    </row>
    <row r="11">
      <c r="B11" s="5" t="inlineStr">
        <is>
          <t>Deal cadence (deals/yr avg)</t>
        </is>
      </c>
      <c r="C11" s="42" t="n">
        <v>2.8</v>
      </c>
      <c r="D11" s="42" t="n">
        <v>3.4</v>
      </c>
      <c r="E11" s="42" t="n">
        <v>2</v>
      </c>
    </row>
    <row r="12">
      <c r="B12" s="5" t="inlineStr">
        <is>
          <t>Holdco SG&amp;A growth/yr</t>
        </is>
      </c>
      <c r="C12" s="17" t="n">
        <v>0.2</v>
      </c>
      <c r="D12" s="17" t="n">
        <v>0.15</v>
      </c>
      <c r="E12" s="17" t="n">
        <v>0.25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8" t="inlineStr">
        <is>
          <t>SENSITIVITY: EXIT MoIC</t>
        </is>
      </c>
    </row>
    <row r="3">
      <c r="B3" s="3" t="inlineStr">
        <is>
          <t>Money-on-Money (MoIC) at exit Y5: equity invested → exit equity value</t>
        </is>
      </c>
    </row>
    <row r="5">
      <c r="B5" s="43" t="inlineStr">
        <is>
          <t>Exit multiple ↓ × Organic growth →</t>
        </is>
      </c>
      <c r="C5" s="44" t="n">
        <v>0.03</v>
      </c>
      <c r="D5" s="44" t="n">
        <v>0.05</v>
      </c>
      <c r="E5" s="44" t="n">
        <v>0.08</v>
      </c>
      <c r="F5" s="44" t="n">
        <v>0.11</v>
      </c>
      <c r="G5" s="44" t="n">
        <v>0.14</v>
      </c>
    </row>
    <row r="6">
      <c r="B6" s="45" t="n">
        <v>7</v>
      </c>
      <c r="C6" s="46" t="n">
        <v>1.353920723052814</v>
      </c>
      <c r="D6" s="46" t="n">
        <v>1.519297735740959</v>
      </c>
      <c r="E6" s="46" t="n">
        <v>1.785714285714286</v>
      </c>
      <c r="F6" s="47" t="n">
        <v>2.075281960706666</v>
      </c>
      <c r="G6" s="47" t="n">
        <v>2.389304630173972</v>
      </c>
    </row>
    <row r="7">
      <c r="B7" s="45" t="n">
        <v>8.5</v>
      </c>
      <c r="C7" s="46" t="n">
        <v>1.797107816768214</v>
      </c>
      <c r="D7" s="46" t="n">
        <v>1.997922760746674</v>
      </c>
      <c r="E7" s="47" t="n">
        <v>2.321428571428572</v>
      </c>
      <c r="F7" s="47" t="n">
        <v>2.673046462490748</v>
      </c>
      <c r="G7" s="48" t="n">
        <v>3.054359703986762</v>
      </c>
    </row>
    <row r="8">
      <c r="B8" s="45" t="n">
        <v>10</v>
      </c>
      <c r="C8" s="47" t="n">
        <v>2.240294910483613</v>
      </c>
      <c r="D8" s="47" t="n">
        <v>2.476547785752389</v>
      </c>
      <c r="E8" s="47" t="n">
        <v>2.857142857142857</v>
      </c>
      <c r="F8" s="48" t="n">
        <v>3.270810964274829</v>
      </c>
      <c r="G8" s="48" t="n">
        <v>3.719414777799551</v>
      </c>
    </row>
    <row r="9">
      <c r="B9" s="45" t="n">
        <v>11.5</v>
      </c>
      <c r="C9" s="47" t="n">
        <v>2.683482004199012</v>
      </c>
      <c r="D9" s="47" t="n">
        <v>2.955172810758105</v>
      </c>
      <c r="E9" s="48" t="n">
        <v>3.392857142857143</v>
      </c>
      <c r="F9" s="48" t="n">
        <v>3.868575466058911</v>
      </c>
      <c r="G9" s="48" t="n">
        <v>4.384469851612341</v>
      </c>
    </row>
    <row r="10">
      <c r="B10" s="45" t="n">
        <v>13</v>
      </c>
      <c r="C10" s="48" t="n">
        <v>3.126669097914411</v>
      </c>
      <c r="D10" s="48" t="n">
        <v>3.433797835763821</v>
      </c>
      <c r="E10" s="48" t="n">
        <v>3.928571428571428</v>
      </c>
      <c r="F10" s="48" t="n">
        <v>4.466339967842992</v>
      </c>
      <c r="G10" s="48" t="n">
        <v>5.049524925425131</v>
      </c>
    </row>
    <row r="12">
      <c r="B12" s="3" t="inlineStr">
        <is>
          <t>Reading: green ≥ 3x MoIC; yellow 2–3x; red &lt; 2x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50" customWidth="1" min="4" max="4"/>
    <col width="15" customWidth="1" min="5" max="5"/>
    <col width="30" customWidth="1" min="6" max="6"/>
    <col width="12" customWidth="1" min="7" max="7"/>
  </cols>
  <sheetData>
    <row r="2">
      <c r="B2" s="8" t="inlineStr">
        <is>
          <t>100-DAY EXECUTION PLAN — FOUNDER + 2 FTE LEAN SEED</t>
        </is>
      </c>
    </row>
    <row r="3">
      <c r="B3" s="3" t="inlineStr">
        <is>
          <t>Daily owner: Founder unless stated. Mark Status as Planned / In-progress / Done. Color-code by workstream.</t>
        </is>
      </c>
    </row>
    <row r="5">
      <c r="B5" s="10" t="inlineStr">
        <is>
          <t>Day</t>
        </is>
      </c>
      <c r="C5" s="10" t="inlineStr">
        <is>
          <t>Phase</t>
        </is>
      </c>
      <c r="D5" s="10" t="inlineStr">
        <is>
          <t>Workstream</t>
        </is>
      </c>
      <c r="E5" s="10" t="inlineStr">
        <is>
          <t>Action / Milestone</t>
        </is>
      </c>
      <c r="F5" s="10" t="inlineStr">
        <is>
          <t>Owner</t>
        </is>
      </c>
      <c r="G5" s="10" t="inlineStr">
        <is>
          <t>Deliverable</t>
        </is>
      </c>
      <c r="H5" s="10" t="inlineStr">
        <is>
          <t>Status</t>
        </is>
      </c>
    </row>
    <row r="6" ht="32" customHeight="1">
      <c r="B6" s="49" t="n">
        <v>1</v>
      </c>
      <c r="C6" s="50" t="inlineStr">
        <is>
          <t>Foundation</t>
        </is>
      </c>
      <c r="D6" s="51" t="inlineStr">
        <is>
          <t>Legal</t>
        </is>
      </c>
      <c r="E6" s="52" t="inlineStr">
        <is>
          <t>Incorporate Cyprus holdco (Ltd) + open bank account</t>
        </is>
      </c>
      <c r="F6" s="51" t="inlineStr">
        <is>
          <t>Founder + lawyer</t>
        </is>
      </c>
      <c r="G6" s="51" t="inlineStr">
        <is>
          <t>Cert of incorp + IBAN</t>
        </is>
      </c>
      <c r="H6" s="49" t="inlineStr">
        <is>
          <t>Planned</t>
        </is>
      </c>
    </row>
    <row r="7" ht="32" customHeight="1">
      <c r="B7" s="49" t="n">
        <v>2</v>
      </c>
      <c r="C7" s="50" t="inlineStr">
        <is>
          <t>Foundation</t>
        </is>
      </c>
      <c r="D7" s="51" t="inlineStr">
        <is>
          <t>Legal</t>
        </is>
      </c>
      <c r="E7" s="52" t="inlineStr">
        <is>
          <t>Draft &amp; sign cofounder agreement, share split, vesting (4yr / 1yr cliff)</t>
        </is>
      </c>
      <c r="F7" s="51" t="inlineStr">
        <is>
          <t>Founder + cofounder lawyer</t>
        </is>
      </c>
      <c r="G7" s="51" t="inlineStr">
        <is>
          <t>Signed shareholders agreement</t>
        </is>
      </c>
      <c r="H7" s="49" t="inlineStr">
        <is>
          <t>Planned</t>
        </is>
      </c>
    </row>
    <row r="8" ht="32" customHeight="1">
      <c r="B8" s="49" t="n">
        <v>3</v>
      </c>
      <c r="C8" s="50" t="inlineStr">
        <is>
          <t>Foundation</t>
        </is>
      </c>
      <c r="D8" s="51" t="inlineStr">
        <is>
          <t>Capital</t>
        </is>
      </c>
      <c r="E8" s="52" t="inlineStr">
        <is>
          <t>Close €250k seed (founders + 2-3 angels)</t>
        </is>
      </c>
      <c r="F8" s="51" t="inlineStr">
        <is>
          <t>Founder</t>
        </is>
      </c>
      <c r="G8" s="51" t="inlineStr">
        <is>
          <t>Wire receipt + SAFE/equity docs</t>
        </is>
      </c>
      <c r="H8" s="49" t="inlineStr">
        <is>
          <t>Planned</t>
        </is>
      </c>
    </row>
    <row r="9" ht="32" customHeight="1">
      <c r="B9" s="49" t="n">
        <v>4</v>
      </c>
      <c r="C9" s="50" t="inlineStr">
        <is>
          <t>Foundation</t>
        </is>
      </c>
      <c r="D9" s="51" t="inlineStr">
        <is>
          <t>Branding</t>
        </is>
      </c>
      <c r="E9" s="52" t="inlineStr">
        <is>
          <t>Lock company name, trademark search in PL/IT/CY + domain &amp; socials</t>
        </is>
      </c>
      <c r="F9" s="51" t="inlineStr">
        <is>
          <t>Cofounder (Ops)</t>
        </is>
      </c>
      <c r="G9" s="51" t="inlineStr">
        <is>
          <t>Trademarks filed, domains acquired</t>
        </is>
      </c>
      <c r="H9" s="49" t="inlineStr">
        <is>
          <t>Planned</t>
        </is>
      </c>
    </row>
    <row r="10" ht="32" customHeight="1">
      <c r="B10" s="49" t="n">
        <v>5</v>
      </c>
      <c r="C10" s="50" t="inlineStr">
        <is>
          <t>Foundation</t>
        </is>
      </c>
      <c r="D10" s="51" t="inlineStr">
        <is>
          <t>Hiring</t>
        </is>
      </c>
      <c r="E10" s="52" t="inlineStr">
        <is>
          <t>Post job ads: M&amp;A Associate (PL-based) + Engineer (remote)</t>
        </is>
      </c>
      <c r="F10" s="51" t="inlineStr">
        <is>
          <t>Founder</t>
        </is>
      </c>
      <c r="G10" s="51" t="inlineStr">
        <is>
          <t>2 job posts live, ATS in place</t>
        </is>
      </c>
      <c r="H10" s="49" t="inlineStr">
        <is>
          <t>Planned</t>
        </is>
      </c>
    </row>
    <row r="11" ht="32" customHeight="1">
      <c r="B11" s="49" t="n">
        <v>7</v>
      </c>
      <c r="C11" s="50" t="inlineStr">
        <is>
          <t>Foundation</t>
        </is>
      </c>
      <c r="D11" s="51" t="inlineStr">
        <is>
          <t>Tools</t>
        </is>
      </c>
      <c r="E11" s="52" t="inlineStr">
        <is>
          <t>Set up Notion/Linear, Slack, Google Workspace, HubSpot CRM</t>
        </is>
      </c>
      <c r="F11" s="51" t="inlineStr">
        <is>
          <t>Cofounder</t>
        </is>
      </c>
      <c r="G11" s="51" t="inlineStr">
        <is>
          <t>All accounts live + onboarding playbook</t>
        </is>
      </c>
      <c r="H11" s="49" t="inlineStr">
        <is>
          <t>Planned</t>
        </is>
      </c>
    </row>
    <row r="12" ht="32" customHeight="1">
      <c r="B12" s="49" t="n">
        <v>10</v>
      </c>
      <c r="C12" s="50" t="inlineStr">
        <is>
          <t>Foundation</t>
        </is>
      </c>
      <c r="D12" s="51" t="inlineStr">
        <is>
          <t>Investors</t>
        </is>
      </c>
      <c r="E12" s="52" t="inlineStr">
        <is>
          <t>Build pre-Series-A target list (40 funds) + warm intros</t>
        </is>
      </c>
      <c r="F12" s="51" t="inlineStr">
        <is>
          <t>Founder</t>
        </is>
      </c>
      <c r="G12" s="51" t="inlineStr">
        <is>
          <t>Investor CRM with 40 targets</t>
        </is>
      </c>
      <c r="H12" s="49" t="inlineStr">
        <is>
          <t>Planned</t>
        </is>
      </c>
    </row>
    <row r="13" ht="32" customHeight="1">
      <c r="B13" s="49" t="n">
        <v>15</v>
      </c>
      <c r="C13" s="50" t="inlineStr">
        <is>
          <t>Foundation</t>
        </is>
      </c>
      <c r="D13" s="51" t="inlineStr">
        <is>
          <t>Branding</t>
        </is>
      </c>
      <c r="E13" s="52" t="inlineStr">
        <is>
          <t>Launch website + LinkedIn company page + investor one-pager</t>
        </is>
      </c>
      <c r="F13" s="51" t="inlineStr">
        <is>
          <t>Cofounder</t>
        </is>
      </c>
      <c r="G13" s="51" t="inlineStr">
        <is>
          <t>ledger.co live + 1-pager PDF</t>
        </is>
      </c>
      <c r="H13" s="49" t="inlineStr">
        <is>
          <t>Planned</t>
        </is>
      </c>
    </row>
    <row r="14" ht="32" customHeight="1">
      <c r="B14" s="53" t="n">
        <v>16</v>
      </c>
      <c r="C14" s="54" t="inlineStr">
        <is>
          <t>Sourcing</t>
        </is>
      </c>
      <c r="D14" s="55" t="inlineStr">
        <is>
          <t>M&amp;A</t>
        </is>
      </c>
      <c r="E14" s="56" t="inlineStr">
        <is>
          <t>Build PL target longlist: 80–120 small accounting firms + niche software</t>
        </is>
      </c>
      <c r="F14" s="55" t="inlineStr">
        <is>
          <t>M&amp;A Associate</t>
        </is>
      </c>
      <c r="G14" s="55" t="inlineStr">
        <is>
          <t>PL longlist v1</t>
        </is>
      </c>
      <c r="H14" s="53" t="inlineStr">
        <is>
          <t>Planned</t>
        </is>
      </c>
    </row>
    <row r="15" ht="32" customHeight="1">
      <c r="B15" s="53" t="n">
        <v>18</v>
      </c>
      <c r="C15" s="54" t="inlineStr">
        <is>
          <t>Sourcing</t>
        </is>
      </c>
      <c r="D15" s="55" t="inlineStr">
        <is>
          <t>Market</t>
        </is>
      </c>
      <c r="E15" s="56" t="inlineStr">
        <is>
          <t>Engage Polish accounting association (KIDP) — partnership talks</t>
        </is>
      </c>
      <c r="F15" s="55" t="inlineStr">
        <is>
          <t>Founder</t>
        </is>
      </c>
      <c r="G15" s="55" t="inlineStr">
        <is>
          <t>Meeting set with KIDP exec</t>
        </is>
      </c>
      <c r="H15" s="53" t="inlineStr">
        <is>
          <t>Planned</t>
        </is>
      </c>
    </row>
    <row r="16" ht="32" customHeight="1">
      <c r="B16" s="53" t="n">
        <v>20</v>
      </c>
      <c r="C16" s="54" t="inlineStr">
        <is>
          <t>Sourcing</t>
        </is>
      </c>
      <c r="D16" s="55" t="inlineStr">
        <is>
          <t>M&amp;A</t>
        </is>
      </c>
      <c r="E16" s="56" t="inlineStr">
        <is>
          <t>Mailer + cold-call campaign: 60 owners contacted in PL</t>
        </is>
      </c>
      <c r="F16" s="55" t="inlineStr">
        <is>
          <t>M&amp;A Associate</t>
        </is>
      </c>
      <c r="G16" s="55" t="inlineStr">
        <is>
          <t>60 owner touchpoints logged</t>
        </is>
      </c>
      <c r="H16" s="53" t="inlineStr">
        <is>
          <t>Planned</t>
        </is>
      </c>
    </row>
    <row r="17" ht="32" customHeight="1">
      <c r="B17" s="53" t="n">
        <v>22</v>
      </c>
      <c r="C17" s="54" t="inlineStr">
        <is>
          <t>Sourcing</t>
        </is>
      </c>
      <c r="D17" s="55" t="inlineStr">
        <is>
          <t>Tech</t>
        </is>
      </c>
      <c r="E17" s="56" t="inlineStr">
        <is>
          <t>Build internal due-diligence template (financial + tech + customer)</t>
        </is>
      </c>
      <c r="F17" s="55" t="inlineStr">
        <is>
          <t>Founder + auditor</t>
        </is>
      </c>
      <c r="G17" s="55" t="inlineStr">
        <is>
          <t>DD checklist + data room template</t>
        </is>
      </c>
      <c r="H17" s="53" t="inlineStr">
        <is>
          <t>Planned</t>
        </is>
      </c>
    </row>
    <row r="18" ht="32" customHeight="1">
      <c r="B18" s="53" t="n">
        <v>25</v>
      </c>
      <c r="C18" s="54" t="inlineStr">
        <is>
          <t>Sourcing</t>
        </is>
      </c>
      <c r="D18" s="55" t="inlineStr">
        <is>
          <t>Capital</t>
        </is>
      </c>
      <c r="E18" s="56" t="inlineStr">
        <is>
          <t>Engage Series-A advisor / banker; agree mandate for €5–7M raise</t>
        </is>
      </c>
      <c r="F18" s="55" t="inlineStr">
        <is>
          <t>Founder</t>
        </is>
      </c>
      <c r="G18" s="55" t="inlineStr">
        <is>
          <t>Signed advisor mandate</t>
        </is>
      </c>
      <c r="H18" s="53" t="inlineStr">
        <is>
          <t>Planned</t>
        </is>
      </c>
    </row>
    <row r="19" ht="32" customHeight="1">
      <c r="B19" s="53" t="n">
        <v>28</v>
      </c>
      <c r="C19" s="54" t="inlineStr">
        <is>
          <t>Sourcing</t>
        </is>
      </c>
      <c r="D19" s="55" t="inlineStr">
        <is>
          <t>M&amp;A</t>
        </is>
      </c>
      <c r="E19" s="56" t="inlineStr">
        <is>
          <t>Set up CY local advisor (accounting + corp services)</t>
        </is>
      </c>
      <c r="F19" s="55" t="inlineStr">
        <is>
          <t>Founder</t>
        </is>
      </c>
      <c r="G19" s="55" t="inlineStr">
        <is>
          <t>CY services agreement signed</t>
        </is>
      </c>
      <c r="H19" s="53" t="inlineStr">
        <is>
          <t>Planned</t>
        </is>
      </c>
    </row>
    <row r="20" ht="32" customHeight="1">
      <c r="B20" s="53" t="n">
        <v>30</v>
      </c>
      <c r="C20" s="54" t="inlineStr">
        <is>
          <t>Sourcing</t>
        </is>
      </c>
      <c r="D20" s="55" t="inlineStr">
        <is>
          <t>M&amp;A</t>
        </is>
      </c>
      <c r="E20" s="56" t="inlineStr">
        <is>
          <t>First 10 LOI conversations PL — qualify down to 5 active</t>
        </is>
      </c>
      <c r="F20" s="55" t="inlineStr">
        <is>
          <t>M&amp;A Associate</t>
        </is>
      </c>
      <c r="G20" s="55" t="inlineStr">
        <is>
          <t>5 active prospects</t>
        </is>
      </c>
      <c r="H20" s="53" t="inlineStr">
        <is>
          <t>Planned</t>
        </is>
      </c>
    </row>
    <row r="21" ht="32" customHeight="1">
      <c r="B21" s="53" t="n">
        <v>35</v>
      </c>
      <c r="C21" s="54" t="inlineStr">
        <is>
          <t>Sourcing</t>
        </is>
      </c>
      <c r="D21" s="55" t="inlineStr">
        <is>
          <t>Tech</t>
        </is>
      </c>
      <c r="E21" s="56" t="inlineStr">
        <is>
          <t>Buy/license OCR engine (Veryfi/Klippa/Rossum) + invoice classifier; integration spec</t>
        </is>
      </c>
      <c r="F21" s="55" t="inlineStr">
        <is>
          <t>Engineer</t>
        </is>
      </c>
      <c r="G21" s="55" t="inlineStr">
        <is>
          <t>Vendor signed + spec drafted</t>
        </is>
      </c>
      <c r="H21" s="53" t="inlineStr">
        <is>
          <t>Planned</t>
        </is>
      </c>
    </row>
    <row r="22" ht="32" customHeight="1">
      <c r="B22" s="53" t="n">
        <v>40</v>
      </c>
      <c r="C22" s="54" t="inlineStr">
        <is>
          <t>Sourcing</t>
        </is>
      </c>
      <c r="D22" s="55" t="inlineStr">
        <is>
          <t>M&amp;A</t>
        </is>
      </c>
      <c r="E22" s="56" t="inlineStr">
        <is>
          <t>Site visit + initial DD on PL Target #1 (LEDGER-1 anchor)</t>
        </is>
      </c>
      <c r="F22" s="55" t="inlineStr">
        <is>
          <t>Founder + M&amp;A Assoc</t>
        </is>
      </c>
      <c r="G22" s="55" t="inlineStr">
        <is>
          <t>DD findings memo</t>
        </is>
      </c>
      <c r="H22" s="53" t="inlineStr">
        <is>
          <t>Planned</t>
        </is>
      </c>
    </row>
    <row r="23" ht="32" customHeight="1">
      <c r="B23" s="53" t="n">
        <v>42</v>
      </c>
      <c r="C23" s="54" t="inlineStr">
        <is>
          <t>Sourcing</t>
        </is>
      </c>
      <c r="D23" s="55" t="inlineStr">
        <is>
          <t>M&amp;A</t>
        </is>
      </c>
      <c r="E23" s="56" t="inlineStr">
        <is>
          <t>Verbal LOI to PL Target #1 — €1.2M rev × 4.0x EBITDA</t>
        </is>
      </c>
      <c r="F23" s="55" t="inlineStr">
        <is>
          <t>Founder</t>
        </is>
      </c>
      <c r="G23" s="55" t="inlineStr">
        <is>
          <t>Term sheet drafted</t>
        </is>
      </c>
      <c r="H23" s="53" t="inlineStr">
        <is>
          <t>Planned</t>
        </is>
      </c>
    </row>
    <row r="24" ht="32" customHeight="1">
      <c r="B24" s="53" t="n">
        <v>45</v>
      </c>
      <c r="C24" s="54" t="inlineStr">
        <is>
          <t>Sourcing</t>
        </is>
      </c>
      <c r="D24" s="55" t="inlineStr">
        <is>
          <t>M&amp;A</t>
        </is>
      </c>
      <c r="E24" s="56" t="inlineStr">
        <is>
          <t>Identify CY target — small audit/tax services firm (LEDGER-2)</t>
        </is>
      </c>
      <c r="F24" s="55" t="inlineStr">
        <is>
          <t>Founder</t>
        </is>
      </c>
      <c r="G24" s="55" t="inlineStr">
        <is>
          <t>CY pipeline activated</t>
        </is>
      </c>
      <c r="H24" s="53" t="inlineStr">
        <is>
          <t>Planned</t>
        </is>
      </c>
    </row>
    <row r="25" ht="32" customHeight="1">
      <c r="B25" s="57" t="n">
        <v>46</v>
      </c>
      <c r="C25" s="58" t="inlineStr">
        <is>
          <t>Closing</t>
        </is>
      </c>
      <c r="D25" s="59" t="inlineStr">
        <is>
          <t>Legal</t>
        </is>
      </c>
      <c r="E25" s="60" t="inlineStr">
        <is>
          <t>Sign LOI with PL Target #1 (exclusivity 60 days)</t>
        </is>
      </c>
      <c r="F25" s="59" t="inlineStr">
        <is>
          <t>Founder + lawyer</t>
        </is>
      </c>
      <c r="G25" s="59" t="inlineStr">
        <is>
          <t>Signed LOI + exclusivity</t>
        </is>
      </c>
      <c r="H25" s="57" t="inlineStr">
        <is>
          <t>Planned</t>
        </is>
      </c>
    </row>
    <row r="26" ht="32" customHeight="1">
      <c r="B26" s="57" t="n">
        <v>50</v>
      </c>
      <c r="C26" s="58" t="inlineStr">
        <is>
          <t>Closing</t>
        </is>
      </c>
      <c r="D26" s="59" t="inlineStr">
        <is>
          <t>Tech</t>
        </is>
      </c>
      <c r="E26" s="60" t="inlineStr">
        <is>
          <t>Build MVP of AI bookkeeping assistant: invoice ingestion + auto-categorization (Polish VAT codes)</t>
        </is>
      </c>
      <c r="F26" s="59" t="inlineStr">
        <is>
          <t>Engineer</t>
        </is>
      </c>
      <c r="G26" s="59" t="inlineStr">
        <is>
          <t>MVP demo-able</t>
        </is>
      </c>
      <c r="H26" s="57" t="inlineStr">
        <is>
          <t>Planned</t>
        </is>
      </c>
    </row>
    <row r="27" ht="32" customHeight="1">
      <c r="B27" s="57" t="n">
        <v>52</v>
      </c>
      <c r="C27" s="58" t="inlineStr">
        <is>
          <t>Closing</t>
        </is>
      </c>
      <c r="D27" s="59" t="inlineStr">
        <is>
          <t>M&amp;A</t>
        </is>
      </c>
      <c r="E27" s="60" t="inlineStr">
        <is>
          <t>Full DD pack on PL Target #1: financial, legal, tax, IT, customer concentration</t>
        </is>
      </c>
      <c r="F27" s="59" t="inlineStr">
        <is>
          <t>M&amp;A Assoc + Big-4 advisor</t>
        </is>
      </c>
      <c r="G27" s="59" t="inlineStr">
        <is>
          <t>DD report (50pp)</t>
        </is>
      </c>
      <c r="H27" s="57" t="inlineStr">
        <is>
          <t>Planned</t>
        </is>
      </c>
    </row>
    <row r="28" ht="32" customHeight="1">
      <c r="B28" s="57" t="n">
        <v>55</v>
      </c>
      <c r="C28" s="58" t="inlineStr">
        <is>
          <t>Closing</t>
        </is>
      </c>
      <c r="D28" s="59" t="inlineStr">
        <is>
          <t>Branding</t>
        </is>
      </c>
      <c r="E28" s="60" t="inlineStr">
        <is>
          <t>Launch sector blog: KSeF prep guide for SMBs (lead-gen)</t>
        </is>
      </c>
      <c r="F28" s="59" t="inlineStr">
        <is>
          <t>Cofounder (Marketing)</t>
        </is>
      </c>
      <c r="G28" s="59" t="inlineStr">
        <is>
          <t>3 articles live + 1000 visits</t>
        </is>
      </c>
      <c r="H28" s="57" t="inlineStr">
        <is>
          <t>Planned</t>
        </is>
      </c>
    </row>
    <row r="29" ht="32" customHeight="1">
      <c r="B29" s="57" t="n">
        <v>58</v>
      </c>
      <c r="C29" s="58" t="inlineStr">
        <is>
          <t>Closing</t>
        </is>
      </c>
      <c r="D29" s="59" t="inlineStr">
        <is>
          <t>M&amp;A</t>
        </is>
      </c>
      <c r="E29" s="60" t="inlineStr">
        <is>
          <t>Site visit CY Target — agree price range €1.6M × 4.0x = €1.6M EV</t>
        </is>
      </c>
      <c r="F29" s="59" t="inlineStr">
        <is>
          <t>Founder</t>
        </is>
      </c>
      <c r="G29" s="59" t="inlineStr">
        <is>
          <t>CY LOI drafted</t>
        </is>
      </c>
      <c r="H29" s="57" t="inlineStr">
        <is>
          <t>Planned</t>
        </is>
      </c>
    </row>
    <row r="30" ht="32" customHeight="1">
      <c r="B30" s="57" t="n">
        <v>60</v>
      </c>
      <c r="C30" s="58" t="inlineStr">
        <is>
          <t>Closing</t>
        </is>
      </c>
      <c r="D30" s="59" t="inlineStr">
        <is>
          <t>Capital</t>
        </is>
      </c>
      <c r="E30" s="60" t="inlineStr">
        <is>
          <t>Series-A teaser deck + investor outreach started (8–10 funds)</t>
        </is>
      </c>
      <c r="F30" s="59" t="inlineStr">
        <is>
          <t>Founder + banker</t>
        </is>
      </c>
      <c r="G30" s="59" t="inlineStr">
        <is>
          <t>10 fund meetings booked</t>
        </is>
      </c>
      <c r="H30" s="57" t="inlineStr">
        <is>
          <t>Planned</t>
        </is>
      </c>
    </row>
    <row r="31" ht="32" customHeight="1">
      <c r="B31" s="57" t="n">
        <v>62</v>
      </c>
      <c r="C31" s="58" t="inlineStr">
        <is>
          <t>Closing</t>
        </is>
      </c>
      <c r="D31" s="59" t="inlineStr">
        <is>
          <t>Legal</t>
        </is>
      </c>
      <c r="E31" s="60" t="inlineStr">
        <is>
          <t>Negotiate SPA on PL Target #1 — earnout, reps, warranties, escrow</t>
        </is>
      </c>
      <c r="F31" s="59" t="inlineStr">
        <is>
          <t>Lawyer</t>
        </is>
      </c>
      <c r="G31" s="59" t="inlineStr">
        <is>
          <t>SPA v2 ready to sign</t>
        </is>
      </c>
      <c r="H31" s="57" t="inlineStr">
        <is>
          <t>Planned</t>
        </is>
      </c>
    </row>
    <row r="32" ht="32" customHeight="1">
      <c r="B32" s="57" t="n">
        <v>65</v>
      </c>
      <c r="C32" s="58" t="inlineStr">
        <is>
          <t>Closing</t>
        </is>
      </c>
      <c r="D32" s="59" t="inlineStr">
        <is>
          <t>M&amp;A</t>
        </is>
      </c>
      <c r="E32" s="60" t="inlineStr">
        <is>
          <t>Investment committee approval (founders + lead angel) for PL #1</t>
        </is>
      </c>
      <c r="F32" s="59" t="inlineStr">
        <is>
          <t>Founder</t>
        </is>
      </c>
      <c r="G32" s="59" t="inlineStr">
        <is>
          <t>IC memo + decision log</t>
        </is>
      </c>
      <c r="H32" s="57" t="inlineStr">
        <is>
          <t>Planned</t>
        </is>
      </c>
    </row>
    <row r="33" ht="32" customHeight="1">
      <c r="B33" s="57" t="n">
        <v>68</v>
      </c>
      <c r="C33" s="58" t="inlineStr">
        <is>
          <t>Closing</t>
        </is>
      </c>
      <c r="D33" s="59" t="inlineStr">
        <is>
          <t>Closing</t>
        </is>
      </c>
      <c r="E33" s="60" t="inlineStr">
        <is>
          <t>PL Target #1 CLOSES — funds wired, control passes</t>
        </is>
      </c>
      <c r="F33" s="59" t="inlineStr">
        <is>
          <t>All</t>
        </is>
      </c>
      <c r="G33" s="59" t="inlineStr">
        <is>
          <t>Closing pack archived; press release</t>
        </is>
      </c>
      <c r="H33" s="57" t="inlineStr">
        <is>
          <t>Planned</t>
        </is>
      </c>
    </row>
    <row r="34" ht="32" customHeight="1">
      <c r="B34" s="57" t="n">
        <v>70</v>
      </c>
      <c r="C34" s="58" t="inlineStr">
        <is>
          <t>Closing</t>
        </is>
      </c>
      <c r="D34" s="59" t="inlineStr">
        <is>
          <t>Integration</t>
        </is>
      </c>
      <c r="E34" s="60" t="inlineStr">
        <is>
          <t>Day 1 PL #1 integration: keep brand, retain founder 2 yrs, integrate finance only</t>
        </is>
      </c>
      <c r="F34" s="59" t="inlineStr">
        <is>
          <t>Cofounder Ops</t>
        </is>
      </c>
      <c r="G34" s="59" t="inlineStr">
        <is>
          <t>100-day integration plan signed</t>
        </is>
      </c>
      <c r="H34" s="57" t="inlineStr">
        <is>
          <t>Planned</t>
        </is>
      </c>
    </row>
    <row r="35" ht="32" customHeight="1">
      <c r="B35" s="57" t="n">
        <v>72</v>
      </c>
      <c r="C35" s="58" t="inlineStr">
        <is>
          <t>Closing</t>
        </is>
      </c>
      <c r="D35" s="59" t="inlineStr">
        <is>
          <t>Tech</t>
        </is>
      </c>
      <c r="E35" s="60" t="inlineStr">
        <is>
          <t>Migrate PL #1 customer data into AI platform (read-only sync first)</t>
        </is>
      </c>
      <c r="F35" s="59" t="inlineStr">
        <is>
          <t>Engineer</t>
        </is>
      </c>
      <c r="G35" s="59" t="inlineStr">
        <is>
          <t>Data pipeline live</t>
        </is>
      </c>
      <c r="H35" s="57" t="inlineStr">
        <is>
          <t>Planned</t>
        </is>
      </c>
    </row>
    <row r="36" ht="32" customHeight="1">
      <c r="B36" s="57" t="n">
        <v>75</v>
      </c>
      <c r="C36" s="58" t="inlineStr">
        <is>
          <t>Closing</t>
        </is>
      </c>
      <c r="D36" s="59" t="inlineStr">
        <is>
          <t>M&amp;A</t>
        </is>
      </c>
      <c r="E36" s="60" t="inlineStr">
        <is>
          <t>CY Target #2 LOI signed</t>
        </is>
      </c>
      <c r="F36" s="59" t="inlineStr">
        <is>
          <t>Founder</t>
        </is>
      </c>
      <c r="G36" s="59" t="inlineStr">
        <is>
          <t>Signed LOI</t>
        </is>
      </c>
      <c r="H36" s="57" t="inlineStr">
        <is>
          <t>Planned</t>
        </is>
      </c>
    </row>
    <row r="37" ht="32" customHeight="1">
      <c r="B37" s="61" t="n">
        <v>76</v>
      </c>
      <c r="C37" s="62" t="inlineStr">
        <is>
          <t>Scale</t>
        </is>
      </c>
      <c r="D37" s="63" t="inlineStr">
        <is>
          <t>Capital</t>
        </is>
      </c>
      <c r="E37" s="64" t="inlineStr">
        <is>
          <t>Open Series-A data room (financials, deal pipeline, AI demo, customer refs)</t>
        </is>
      </c>
      <c r="F37" s="63" t="inlineStr">
        <is>
          <t>Founder + CFO</t>
        </is>
      </c>
      <c r="G37" s="63" t="inlineStr">
        <is>
          <t>VDR live with 200 docs</t>
        </is>
      </c>
      <c r="H37" s="61" t="inlineStr">
        <is>
          <t>Planned</t>
        </is>
      </c>
    </row>
    <row r="38" ht="32" customHeight="1">
      <c r="B38" s="61" t="n">
        <v>78</v>
      </c>
      <c r="C38" s="62" t="inlineStr">
        <is>
          <t>Scale</t>
        </is>
      </c>
      <c r="D38" s="63" t="inlineStr">
        <is>
          <t>Capital</t>
        </is>
      </c>
      <c r="E38" s="64" t="inlineStr">
        <is>
          <t>First 5 Series-A investor pitches in person (Warsaw, London, Amsterdam)</t>
        </is>
      </c>
      <c r="F38" s="63" t="inlineStr">
        <is>
          <t>Founder</t>
        </is>
      </c>
      <c r="G38" s="63" t="inlineStr">
        <is>
          <t>5 pitches delivered</t>
        </is>
      </c>
      <c r="H38" s="61" t="inlineStr">
        <is>
          <t>Planned</t>
        </is>
      </c>
    </row>
    <row r="39" ht="32" customHeight="1">
      <c r="B39" s="61" t="n">
        <v>80</v>
      </c>
      <c r="C39" s="62" t="inlineStr">
        <is>
          <t>Scale</t>
        </is>
      </c>
      <c r="D39" s="63" t="inlineStr">
        <is>
          <t>Sales</t>
        </is>
      </c>
      <c r="E39" s="64" t="inlineStr">
        <is>
          <t>Cross-sell pilot: offer AI bookkeeping to PL #1's 200 customers — convert 30 to AI tier</t>
        </is>
      </c>
      <c r="F39" s="63" t="inlineStr">
        <is>
          <t>Cofounder Ops + acquired team</t>
        </is>
      </c>
      <c r="G39" s="63" t="inlineStr">
        <is>
          <t>30 customers on AI tier (~€60k ARR uplift)</t>
        </is>
      </c>
      <c r="H39" s="61" t="inlineStr">
        <is>
          <t>Planned</t>
        </is>
      </c>
    </row>
    <row r="40" ht="32" customHeight="1">
      <c r="B40" s="61" t="n">
        <v>82</v>
      </c>
      <c r="C40" s="62" t="inlineStr">
        <is>
          <t>Scale</t>
        </is>
      </c>
      <c r="D40" s="63" t="inlineStr">
        <is>
          <t>M&amp;A</t>
        </is>
      </c>
      <c r="E40" s="64" t="inlineStr">
        <is>
          <t>Build IT (Italy) target longlist — 80 commercialisti firms + niche vendors</t>
        </is>
      </c>
      <c r="F40" s="63" t="inlineStr">
        <is>
          <t>M&amp;A Assoc</t>
        </is>
      </c>
      <c r="G40" s="63" t="inlineStr">
        <is>
          <t>IT longlist v1</t>
        </is>
      </c>
      <c r="H40" s="61" t="inlineStr">
        <is>
          <t>Planned</t>
        </is>
      </c>
    </row>
    <row r="41" ht="32" customHeight="1">
      <c r="B41" s="61" t="n">
        <v>85</v>
      </c>
      <c r="C41" s="62" t="inlineStr">
        <is>
          <t>Scale</t>
        </is>
      </c>
      <c r="D41" s="63" t="inlineStr">
        <is>
          <t>Hiring</t>
        </is>
      </c>
      <c r="E41" s="64" t="inlineStr">
        <is>
          <t>Hire Country Manager Poland (ex-accounting firm owner, network)</t>
        </is>
      </c>
      <c r="F41" s="63" t="inlineStr">
        <is>
          <t>Founder</t>
        </is>
      </c>
      <c r="G41" s="63" t="inlineStr">
        <is>
          <t>Country Mgr signed, starts Day 100</t>
        </is>
      </c>
      <c r="H41" s="61" t="inlineStr">
        <is>
          <t>Planned</t>
        </is>
      </c>
    </row>
    <row r="42" ht="32" customHeight="1">
      <c r="B42" s="61" t="n">
        <v>88</v>
      </c>
      <c r="C42" s="62" t="inlineStr">
        <is>
          <t>Scale</t>
        </is>
      </c>
      <c r="D42" s="63" t="inlineStr">
        <is>
          <t>Tech</t>
        </is>
      </c>
      <c r="E42" s="64" t="inlineStr">
        <is>
          <t>AI platform: roll out invoice auto-approval (95%+ accuracy threshold)</t>
        </is>
      </c>
      <c r="F42" s="63" t="inlineStr">
        <is>
          <t>Engineer</t>
        </is>
      </c>
      <c r="G42" s="63" t="inlineStr">
        <is>
          <t>Auto-approval rate metric on dashboard</t>
        </is>
      </c>
      <c r="H42" s="61" t="inlineStr">
        <is>
          <t>Planned</t>
        </is>
      </c>
    </row>
    <row r="43" ht="32" customHeight="1">
      <c r="B43" s="61" t="n">
        <v>90</v>
      </c>
      <c r="C43" s="62" t="inlineStr">
        <is>
          <t>Scale</t>
        </is>
      </c>
      <c r="D43" s="63" t="inlineStr">
        <is>
          <t>Capital</t>
        </is>
      </c>
      <c r="E43" s="64" t="inlineStr">
        <is>
          <t>Term sheets received from 2-3 Series-A funds; negotiate</t>
        </is>
      </c>
      <c r="F43" s="63" t="inlineStr">
        <is>
          <t>Founder + banker</t>
        </is>
      </c>
      <c r="G43" s="63" t="inlineStr">
        <is>
          <t>Term sheet selected</t>
        </is>
      </c>
      <c r="H43" s="61" t="inlineStr">
        <is>
          <t>Planned</t>
        </is>
      </c>
    </row>
    <row r="44" ht="32" customHeight="1">
      <c r="B44" s="61" t="n">
        <v>92</v>
      </c>
      <c r="C44" s="62" t="inlineStr">
        <is>
          <t>Scale</t>
        </is>
      </c>
      <c r="D44" s="63" t="inlineStr">
        <is>
          <t>M&amp;A</t>
        </is>
      </c>
      <c r="E44" s="64" t="inlineStr">
        <is>
          <t>CY Target #2 closes — small audit firm (~€400k rev)</t>
        </is>
      </c>
      <c r="F44" s="63" t="inlineStr">
        <is>
          <t>Founder</t>
        </is>
      </c>
      <c r="G44" s="63" t="inlineStr">
        <is>
          <t>2 acquisitions completed in 92 days</t>
        </is>
      </c>
      <c r="H44" s="61" t="inlineStr">
        <is>
          <t>Planned</t>
        </is>
      </c>
    </row>
    <row r="45" ht="32" customHeight="1">
      <c r="B45" s="61" t="n">
        <v>95</v>
      </c>
      <c r="C45" s="62" t="inlineStr">
        <is>
          <t>Scale</t>
        </is>
      </c>
      <c r="D45" s="63" t="inlineStr">
        <is>
          <t>Branding</t>
        </is>
      </c>
      <c r="E45" s="64" t="inlineStr">
        <is>
          <t>Industry conference talk in Warsaw — position as 'roll-up + AI' thesis</t>
        </is>
      </c>
      <c r="F45" s="63" t="inlineStr">
        <is>
          <t>Founder</t>
        </is>
      </c>
      <c r="G45" s="63" t="inlineStr">
        <is>
          <t>Talk delivered + 100 leads</t>
        </is>
      </c>
      <c r="H45" s="61" t="inlineStr">
        <is>
          <t>Planned</t>
        </is>
      </c>
    </row>
    <row r="46" ht="32" customHeight="1">
      <c r="B46" s="61" t="n">
        <v>97</v>
      </c>
      <c r="C46" s="62" t="inlineStr">
        <is>
          <t>Scale</t>
        </is>
      </c>
      <c r="D46" s="63" t="inlineStr">
        <is>
          <t>Capital</t>
        </is>
      </c>
      <c r="E46" s="64" t="inlineStr">
        <is>
          <t>Sign Series-A term sheet (€5–7M @ valuation €15–25M post)</t>
        </is>
      </c>
      <c r="F46" s="63" t="inlineStr">
        <is>
          <t>Founder</t>
        </is>
      </c>
      <c r="G46" s="63" t="inlineStr">
        <is>
          <t>Signed TS</t>
        </is>
      </c>
      <c r="H46" s="61" t="inlineStr">
        <is>
          <t>Planned</t>
        </is>
      </c>
    </row>
    <row r="47" ht="32" customHeight="1">
      <c r="B47" s="61" t="n">
        <v>98</v>
      </c>
      <c r="C47" s="62" t="inlineStr">
        <is>
          <t>Scale</t>
        </is>
      </c>
      <c r="D47" s="63" t="inlineStr">
        <is>
          <t>M&amp;A</t>
        </is>
      </c>
      <c r="E47" s="64" t="inlineStr">
        <is>
          <t>Begin IT Target #1 outreach (commercialista with digital practice)</t>
        </is>
      </c>
      <c r="F47" s="63" t="inlineStr">
        <is>
          <t>Founder + IT advisor</t>
        </is>
      </c>
      <c r="G47" s="63" t="inlineStr">
        <is>
          <t>10 IT targets contacted</t>
        </is>
      </c>
      <c r="H47" s="61" t="inlineStr">
        <is>
          <t>Planned</t>
        </is>
      </c>
    </row>
    <row r="48" ht="32" customHeight="1">
      <c r="B48" s="61" t="n">
        <v>99</v>
      </c>
      <c r="C48" s="62" t="inlineStr">
        <is>
          <t>Scale</t>
        </is>
      </c>
      <c r="D48" s="63" t="inlineStr">
        <is>
          <t>Ops</t>
        </is>
      </c>
      <c r="E48" s="64" t="inlineStr">
        <is>
          <t>100-day review: KPI dashboard, lessons learned, Q2 plan</t>
        </is>
      </c>
      <c r="F48" s="63" t="inlineStr">
        <is>
          <t>Founder</t>
        </is>
      </c>
      <c r="G48" s="63" t="inlineStr">
        <is>
          <t>Q2 plan signed off</t>
        </is>
      </c>
      <c r="H48" s="61" t="inlineStr">
        <is>
          <t>Planned</t>
        </is>
      </c>
    </row>
    <row r="49" ht="32" customHeight="1">
      <c r="B49" s="61" t="n">
        <v>100</v>
      </c>
      <c r="C49" s="62" t="inlineStr">
        <is>
          <t>Scale</t>
        </is>
      </c>
      <c r="D49" s="63" t="inlineStr">
        <is>
          <t>Comms</t>
        </is>
      </c>
      <c r="E49" s="64" t="inlineStr">
        <is>
          <t>Founder LP / angel update: 2 deals closed, Series A signed, IT pipeline open</t>
        </is>
      </c>
      <c r="F49" s="63" t="inlineStr">
        <is>
          <t>Founder</t>
        </is>
      </c>
      <c r="G49" s="63" t="inlineStr">
        <is>
          <t>Update email + Loom video</t>
        </is>
      </c>
      <c r="H49" s="61" t="inlineStr">
        <is>
          <t>Planned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8" t="inlineStr">
        <is>
          <t>KPI DASHBOARD</t>
        </is>
      </c>
    </row>
    <row r="5">
      <c r="B5" s="9" t="inlineStr">
        <is>
          <t>KPI</t>
        </is>
      </c>
      <c r="C5" s="10" t="inlineStr">
        <is>
          <t>FY26</t>
        </is>
      </c>
      <c r="D5" s="10" t="inlineStr">
        <is>
          <t>FY27</t>
        </is>
      </c>
      <c r="E5" s="10" t="inlineStr">
        <is>
          <t>FY28</t>
        </is>
      </c>
      <c r="F5" s="10" t="inlineStr">
        <is>
          <t>FY29</t>
        </is>
      </c>
      <c r="G5" s="10" t="inlineStr">
        <is>
          <t>FY30</t>
        </is>
      </c>
    </row>
    <row r="6">
      <c r="B6" s="6" t="inlineStr">
        <is>
          <t>Revenue (€k)</t>
        </is>
      </c>
      <c r="C6" s="30">
        <f>IS!C7</f>
        <v/>
      </c>
      <c r="D6" s="30">
        <f>IS!D7</f>
        <v/>
      </c>
      <c r="E6" s="30">
        <f>IS!E7</f>
        <v/>
      </c>
      <c r="F6" s="30">
        <f>IS!F7</f>
        <v/>
      </c>
      <c r="G6" s="30">
        <f>IS!G7</f>
        <v/>
      </c>
    </row>
    <row r="7">
      <c r="B7" s="6" t="inlineStr">
        <is>
          <t>EBITDA (€k)</t>
        </is>
      </c>
      <c r="C7" s="30">
        <f>IS!C8</f>
        <v/>
      </c>
      <c r="D7" s="30">
        <f>IS!D8</f>
        <v/>
      </c>
      <c r="E7" s="30">
        <f>IS!E8</f>
        <v/>
      </c>
      <c r="F7" s="30">
        <f>IS!F8</f>
        <v/>
      </c>
      <c r="G7" s="30">
        <f>IS!G8</f>
        <v/>
      </c>
    </row>
    <row r="8">
      <c r="B8" s="6" t="inlineStr">
        <is>
          <t>EBITDA margin</t>
        </is>
      </c>
      <c r="C8" s="33">
        <f>IFERROR(IS!C8/IS!C7,0)</f>
        <v/>
      </c>
      <c r="D8" s="33">
        <f>IFERROR(IS!D8/IS!D7,0)</f>
        <v/>
      </c>
      <c r="E8" s="33">
        <f>IFERROR(IS!E8/IS!E7,0)</f>
        <v/>
      </c>
      <c r="F8" s="33">
        <f>IFERROR(IS!F8/IS!F7,0)</f>
        <v/>
      </c>
      <c r="G8" s="33">
        <f>IFERROR(IS!G8/IS!G7,0)</f>
        <v/>
      </c>
    </row>
    <row r="9">
      <c r="B9" s="6" t="inlineStr">
        <is>
          <t>Net income (€k)</t>
        </is>
      </c>
      <c r="C9" s="30">
        <f>IS!C14</f>
        <v/>
      </c>
      <c r="D9" s="30">
        <f>IS!D14</f>
        <v/>
      </c>
      <c r="E9" s="30">
        <f>IS!E14</f>
        <v/>
      </c>
      <c r="F9" s="30">
        <f>IS!F14</f>
        <v/>
      </c>
      <c r="G9" s="30">
        <f>IS!G14</f>
        <v/>
      </c>
    </row>
    <row r="10">
      <c r="B10" s="5" t="inlineStr">
        <is>
          <t># deals YTD (cumulative)</t>
        </is>
      </c>
      <c r="C10" s="65">
        <f>'M&amp;A Schedule'!C27</f>
        <v/>
      </c>
      <c r="D10" s="65">
        <f>'M&amp;A Schedule'!D27</f>
        <v/>
      </c>
      <c r="E10" s="65">
        <f>'M&amp;A Schedule'!E27</f>
        <v/>
      </c>
      <c r="F10" s="65">
        <f>'M&amp;A Schedule'!F27</f>
        <v/>
      </c>
      <c r="G10" s="65">
        <f>'M&amp;A Schedule'!G27</f>
        <v/>
      </c>
    </row>
    <row r="11">
      <c r="B11" s="5" t="inlineStr">
        <is>
          <t>Cumulative invested (€k)</t>
        </is>
      </c>
      <c r="C11" s="30">
        <f>SUM('M&amp;A Schedule'!$D$27:C27)</f>
        <v/>
      </c>
      <c r="D11" s="30">
        <f>SUM('M&amp;A Schedule'!$D$27:D27)</f>
        <v/>
      </c>
      <c r="E11" s="30">
        <f>SUM('M&amp;A Schedule'!$D$27:E27)</f>
        <v/>
      </c>
      <c r="F11" s="30">
        <f>SUM('M&amp;A Schedule'!$D$27:F27)</f>
        <v/>
      </c>
      <c r="G11" s="30">
        <f>SUM('M&amp;A Schedule'!$D$27:G27)</f>
        <v/>
      </c>
    </row>
    <row r="12">
      <c r="B12" s="5" t="inlineStr">
        <is>
          <t>Closing cash (€k)</t>
        </is>
      </c>
      <c r="C12" s="30">
        <f>CF!C30</f>
        <v/>
      </c>
      <c r="D12" s="30">
        <f>CF!D30</f>
        <v/>
      </c>
      <c r="E12" s="30">
        <f>CF!E30</f>
        <v/>
      </c>
      <c r="F12" s="30">
        <f>CF!F30</f>
        <v/>
      </c>
      <c r="G12" s="30">
        <f>CF!G30</f>
        <v/>
      </c>
    </row>
    <row r="13">
      <c r="B13" s="5" t="inlineStr">
        <is>
          <t>Net debt / EBITDA</t>
        </is>
      </c>
      <c r="C13" s="66">
        <f>IFERROR(Debt!C10/IS!C8,0)</f>
        <v/>
      </c>
      <c r="D13" s="66">
        <f>IFERROR(Debt!D10/IS!D8,0)</f>
        <v/>
      </c>
      <c r="E13" s="66">
        <f>IFERROR(Debt!E10/IS!E8,0)</f>
        <v/>
      </c>
      <c r="F13" s="66">
        <f>IFERROR(Debt!F10/IS!F8,0)</f>
        <v/>
      </c>
      <c r="G13" s="66">
        <f>IFERROR(Debt!G10/IS!G8,0)</f>
        <v/>
      </c>
    </row>
    <row r="16">
      <c r="B16" s="4" t="inlineStr">
        <is>
          <t>EXIT VALUATION — YEAR 5 (Base case)</t>
        </is>
      </c>
    </row>
    <row r="17">
      <c r="B17" t="inlineStr">
        <is>
          <t>FY30 EBITDA (€k)</t>
        </is>
      </c>
      <c r="C17" s="30">
        <f>IS!G8</f>
        <v/>
      </c>
    </row>
    <row r="18">
      <c r="B18" t="inlineStr">
        <is>
          <t>Exit EV/EBITDA multiple</t>
        </is>
      </c>
      <c r="C18" s="66">
        <f>Inputs!$C$23</f>
        <v/>
      </c>
    </row>
    <row r="19">
      <c r="B19" t="inlineStr">
        <is>
          <t>Enterprise Value at exit (€k)</t>
        </is>
      </c>
      <c r="C19" s="36">
        <f>C17*C18</f>
        <v/>
      </c>
    </row>
    <row r="20">
      <c r="B20" t="inlineStr">
        <is>
          <t>− Net debt (€k)</t>
        </is>
      </c>
      <c r="C20" s="30">
        <f>-Debt!G10</f>
        <v/>
      </c>
    </row>
    <row r="21">
      <c r="B21" t="inlineStr">
        <is>
          <t>Equity value at exit (€k)</t>
        </is>
      </c>
      <c r="C21" s="36">
        <f>C19+C20</f>
        <v/>
      </c>
    </row>
    <row r="22">
      <c r="B22" t="inlineStr">
        <is>
          <t>Total equity invested (€k)</t>
        </is>
      </c>
      <c r="C22" s="30">
        <f>Inputs!$C$15+Inputs!$C$16+Inputs!$C$17</f>
        <v/>
      </c>
    </row>
    <row r="23">
      <c r="B23" t="inlineStr">
        <is>
          <t>MoIC (Money-on-Money)</t>
        </is>
      </c>
      <c r="C23" s="67">
        <f>C21/C22</f>
        <v/>
      </c>
    </row>
    <row r="24">
      <c r="B24" t="inlineStr">
        <is>
          <t>IRR (approx, 5-yr)</t>
        </is>
      </c>
      <c r="C24" s="68">
        <f>(C21/C22)^(1/5)-1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0" customWidth="1" min="3" max="3"/>
  </cols>
  <sheetData>
    <row r="2">
      <c r="B2" s="8" t="inlineStr">
        <is>
          <t>DATA SOURCES &amp; REFERENCES</t>
        </is>
      </c>
    </row>
    <row r="4">
      <c r="B4" s="9" t="inlineStr">
        <is>
          <t>Category</t>
        </is>
      </c>
      <c r="C4" s="9" t="inlineStr">
        <is>
          <t>Source</t>
        </is>
      </c>
    </row>
    <row r="5">
      <c r="B5" s="6" t="inlineStr">
        <is>
          <t>Visma history &amp; PE</t>
        </is>
      </c>
      <c r="C5" s="69" t="inlineStr">
        <is>
          <t>https://hgcapital.com/portfolio/visma</t>
        </is>
      </c>
    </row>
    <row r="6">
      <c r="B6" s="6" t="inlineStr">
        <is>
          <t>Visma 2023 €19B secondary</t>
        </is>
      </c>
      <c r="C6" s="69" t="inlineStr">
        <is>
          <t>https://www.visma.com/news/visma-attracts-new-investors-for-further-international-expansion-in-a-transaction-valuing-the-company-at-eur-19-billion</t>
        </is>
      </c>
    </row>
    <row r="7">
      <c r="B7" s="6" t="inlineStr">
        <is>
          <t>Visma 2020 Warburg/TPG</t>
        </is>
      </c>
      <c r="C7" s="69" t="inlineStr">
        <is>
          <t>https://warburgpincus.com/2020/08/24/new-investment-in-visma-valued-at-us12-2-billion-in-the-worlds-largest-ever-software-buyout</t>
        </is>
      </c>
    </row>
    <row r="8">
      <c r="B8" s="6" t="inlineStr">
        <is>
          <t>Visma annual report 2024</t>
        </is>
      </c>
      <c r="C8" s="69" t="inlineStr">
        <is>
          <t>https://www.visma.com/annualreport/2024</t>
        </is>
      </c>
    </row>
    <row r="9">
      <c r="B9" s="6" t="inlineStr">
        <is>
          <t>Visma M&amp;A playbook podcast</t>
        </is>
      </c>
      <c r="C9" s="69" t="inlineStr">
        <is>
          <t>https://www.mascience.com/podcast/how-to-build-a-global-m-a-machine-with-local-expertise</t>
        </is>
      </c>
    </row>
    <row r="10">
      <c r="B10" s="6" t="inlineStr">
        <is>
          <t>Visma Fiscozen (Italy 2024)</t>
        </is>
      </c>
      <c r="C10" s="69" t="inlineStr">
        <is>
          <t>Internal: Visma news release — Italian tax advisory acquisition</t>
        </is>
      </c>
    </row>
    <row r="11">
      <c r="B11" s="6" t="inlineStr">
        <is>
          <t>Visma Holded (Spain 2021)</t>
        </is>
      </c>
      <c r="C11" s="69" t="inlineStr">
        <is>
          <t>Visma's Spanish AI accounting platform — relevant comparable</t>
        </is>
      </c>
    </row>
    <row r="12">
      <c r="B12" s="6" t="inlineStr">
        <is>
          <t>Constellation Software</t>
        </is>
      </c>
      <c r="C12" s="69" t="inlineStr">
        <is>
          <t>https://www.csisoftware.com/operating-groups</t>
        </is>
      </c>
    </row>
    <row r="13">
      <c r="B13" s="6" t="inlineStr">
        <is>
          <t>Topicus.com spin-out</t>
        </is>
      </c>
      <c r="C13" s="69" t="inlineStr">
        <is>
          <t>https://topicus.com/news/constellation-software-inc-completes-spin-out-of-topicuscom-inc</t>
        </is>
      </c>
    </row>
    <row r="14">
      <c r="B14" s="6" t="inlineStr">
        <is>
          <t>Software valuation multiples</t>
        </is>
      </c>
      <c r="C14" s="69" t="inlineStr">
        <is>
          <t>https://aventis-advisors.com/software-valuation-multiples</t>
        </is>
      </c>
    </row>
    <row r="15">
      <c r="B15" s="6" t="inlineStr">
        <is>
          <t>Constellation comp analysis</t>
        </is>
      </c>
      <c r="C15" s="69" t="inlineStr">
        <is>
          <t>https://rollupeurope.com/p/utm-source-rss-utm-medium-rss-utm-campaign-boss-your-comps-pt-3-do-software-rollups-deserve-constell</t>
        </is>
      </c>
    </row>
    <row r="16">
      <c r="B16" s="6" t="inlineStr">
        <is>
          <t>Kabilio (Spain AI accounting)</t>
        </is>
      </c>
      <c r="C16" s="69" t="inlineStr">
        <is>
          <t>https://pulse2.com/kabilio-e4-million-raised-to-expand-ai-platform-for-accounting-firms-in-spain</t>
        </is>
      </c>
    </row>
    <row r="17">
      <c r="B17" s="6" t="inlineStr">
        <is>
          <t>VC accounting roll-ups trend</t>
        </is>
      </c>
      <c r="C17" s="69" t="inlineStr">
        <is>
          <t>https://www.transacted.io/venture-firms-target-accounting-roll-ups-with-ai-automation-play</t>
        </is>
      </c>
    </row>
    <row r="18">
      <c r="B18" s="6" t="inlineStr">
        <is>
          <t>PL: KSeF mandate</t>
        </is>
      </c>
      <c r="C18" s="69" t="inlineStr">
        <is>
          <t>Polish Ministry of Finance — KSeF obligatory implementation Feb 2026</t>
        </is>
      </c>
    </row>
    <row r="19">
      <c r="B19" s="6" t="inlineStr">
        <is>
          <t>IT: SdI fattura elettronica</t>
        </is>
      </c>
      <c r="C19" s="69" t="inlineStr">
        <is>
          <t>Agenzia delle Entrate — SdI mandatory since 2019 for B2B</t>
        </is>
      </c>
    </row>
    <row r="20">
      <c r="B20" s="6" t="inlineStr">
        <is>
          <t>CY: IFRS adoption</t>
        </is>
      </c>
      <c r="C20" s="69" t="inlineStr">
        <is>
          <t>Cyprus Companies Law CAP 113 — IFRS required all entities</t>
        </is>
      </c>
    </row>
    <row r="21">
      <c r="B21" s="6" t="inlineStr">
        <is>
          <t>EU ViDA package</t>
        </is>
      </c>
      <c r="C21" s="69" t="inlineStr">
        <is>
          <t>European Commission — VAT in Digital Age proposal</t>
        </is>
      </c>
    </row>
    <row r="22">
      <c r="B22" s="6" t="inlineStr">
        <is>
          <t>Spanish AI accounting category</t>
        </is>
      </c>
      <c r="C22" s="69" t="inlineStr">
        <is>
          <t>Holded, Anfix, Quipu, Contasimple, Xolo —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2026-05-22T12:51:47Z</dcterms:created>
  <dcterms:modified xmlns:dcterms="http://purl.org/dc/terms/" xmlns:xsi="http://www.w3.org/2001/XMLSchema-instance" xsi:type="dcterms:W3CDTF">2026-05-22T12:51:47Z</dcterms:modified>
</cp:coreProperties>
</file>