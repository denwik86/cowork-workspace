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perating" sheetId="3" state="visible" r:id="rId3"/>
    <sheet xmlns:r="http://schemas.openxmlformats.org/officeDocument/2006/relationships" name="PL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Outputs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&quot; FTE&quot;"/>
    <numFmt numFmtId="165" formatCode="#,##0;(#,##0);&quot;–&quot;"/>
    <numFmt numFmtId="166" formatCode="0.0%"/>
    <numFmt numFmtId="167" formatCode="0.00x"/>
  </numFmts>
  <fonts count="13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1F3864"/>
      <sz val="18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2E5395"/>
      <sz val="10"/>
    </font>
    <font>
      <name val="Calibri"/>
      <color rgb="000000FF"/>
      <sz val="10"/>
    </font>
    <font>
      <name val="Calibri"/>
      <b val="1"/>
      <color rgb="00000000"/>
      <sz val="10"/>
    </font>
    <font>
      <name val="Calibri"/>
      <color rgb="00008000"/>
      <sz val="10"/>
    </font>
    <font>
      <name val="Calibri"/>
      <b val="1"/>
      <color rgb="00000000"/>
      <sz val="11"/>
    </font>
    <font>
      <name val="Calibri"/>
      <b val="1"/>
      <color rgb="00008000"/>
      <sz val="10"/>
    </font>
    <font>
      <name val="Calibri"/>
      <b val="1"/>
      <color rgb="00548235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/>
    </xf>
    <xf numFmtId="0" fontId="1" fillId="0" borderId="0" pivotButton="0" quotePrefix="0" xfId="0"/>
    <xf numFmtId="0" fontId="8" fillId="4" borderId="0" pivotButton="0" quotePrefix="0" xfId="0"/>
    <xf numFmtId="164" fontId="7" fillId="3" borderId="0" pivotButton="0" quotePrefix="0" xfId="0"/>
    <xf numFmtId="165" fontId="7" fillId="3" borderId="0" pivotButton="0" quotePrefix="0" xfId="0"/>
    <xf numFmtId="165" fontId="5" fillId="0" borderId="0" pivotButton="0" quotePrefix="0" xfId="0"/>
    <xf numFmtId="164" fontId="8" fillId="4" borderId="0" pivotButton="0" quotePrefix="0" xfId="0"/>
    <xf numFmtId="165" fontId="8" fillId="4" borderId="0" pivotButton="0" quotePrefix="0" xfId="0"/>
    <xf numFmtId="166" fontId="7" fillId="3" borderId="0" pivotButton="0" quotePrefix="0" xfId="0"/>
    <xf numFmtId="166" fontId="8" fillId="4" borderId="0" pivotButton="0" quotePrefix="0" xfId="0"/>
    <xf numFmtId="0" fontId="4" fillId="2" borderId="0" applyAlignment="1" pivotButton="0" quotePrefix="0" xfId="0">
      <alignment horizontal="center"/>
    </xf>
    <xf numFmtId="164" fontId="9" fillId="0" borderId="0" pivotButton="0" quotePrefix="0" xfId="0"/>
    <xf numFmtId="165" fontId="9" fillId="0" borderId="0" pivotButton="0" quotePrefix="0" xfId="0"/>
    <xf numFmtId="166" fontId="5" fillId="0" borderId="0" pivotButton="0" quotePrefix="0" xfId="0"/>
    <xf numFmtId="166" fontId="9" fillId="0" borderId="0" pivotButton="0" quotePrefix="0" xfId="0"/>
    <xf numFmtId="165" fontId="10" fillId="3" borderId="0" pivotButton="0" quotePrefix="0" xfId="0"/>
    <xf numFmtId="166" fontId="10" fillId="3" borderId="0" pivotButton="0" quotePrefix="0" xfId="0"/>
    <xf numFmtId="165" fontId="4" fillId="2" borderId="0" pivotButton="0" quotePrefix="0" xfId="0"/>
    <xf numFmtId="166" fontId="4" fillId="2" borderId="0" pivotButton="0" quotePrefix="0" xfId="0"/>
    <xf numFmtId="165" fontId="11" fillId="0" borderId="0" pivotButton="0" quotePrefix="0" xfId="0"/>
    <xf numFmtId="166" fontId="11" fillId="0" borderId="0" pivotButton="0" quotePrefix="0" xfId="0"/>
    <xf numFmtId="0" fontId="5" fillId="0" borderId="0" applyAlignment="1" pivotButton="0" quotePrefix="0" xfId="0">
      <alignment vertical="top" wrapText="1"/>
    </xf>
    <xf numFmtId="0" fontId="8" fillId="4" borderId="0" applyAlignment="1" pivotButton="0" quotePrefix="0" xfId="0">
      <alignment horizontal="center"/>
    </xf>
    <xf numFmtId="1" fontId="7" fillId="3" borderId="0" pivotButton="0" quotePrefix="0" xfId="0"/>
    <xf numFmtId="165" fontId="12" fillId="4" borderId="0" pivotButton="0" quotePrefix="0" xfId="0"/>
    <xf numFmtId="2" fontId="7" fillId="3" borderId="0" pivotButton="0" quotePrefix="0" xfId="0"/>
    <xf numFmtId="167" fontId="1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Adj EBITDA margin: baseline → AI scenarios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'Outputs'!$D$7:$G$7</f>
            </numRef>
          </cat>
          <val>
            <numRef>
              <f>'Outputs'!$D$9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'Outputs'!$D$7:$G$7</f>
            </numRef>
          </cat>
          <val>
            <numRef>
              <f>'Outputs'!$E$9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'Outputs'!$D$7:$G$7</f>
            </numRef>
          </cat>
          <val>
            <numRef>
              <f>'Outputs'!$F$9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'Outputs'!$D$7:$G$7</f>
            </numRef>
          </cat>
          <val>
            <numRef>
              <f>'Outputs'!$G$9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EBITDA margin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Adj EBITDA (€K): baseline → AI scenarios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'Outputs'!$D$5:$G$5</f>
            </numRef>
          </cat>
          <val>
            <numRef>
              <f>'Outputs'!$D$8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'Outputs'!$D$5:$G$5</f>
            </numRef>
          </cat>
          <val>
            <numRef>
              <f>'Outputs'!$E$8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'Outputs'!$D$5:$G$5</f>
            </numRef>
          </cat>
          <val>
            <numRef>
              <f>'Outputs'!$F$8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'Outputs'!$D$5:$G$5</f>
            </numRef>
          </cat>
          <val>
            <numRef>
              <f>'Outputs'!$G$8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Adj EBITDA (€K)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39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57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8" customWidth="1" min="3" max="3"/>
    <col width="16" customWidth="1" min="4" max="4"/>
  </cols>
  <sheetData>
    <row r="2">
      <c r="B2" s="1" t="inlineStr">
        <is>
          <t>AI Accounting Roll-Up — Margin Transformation Model</t>
        </is>
      </c>
    </row>
    <row r="3">
      <c r="B3" s="2" t="inlineStr">
        <is>
          <t>Quick-draft v1.0 · Operator track · Italian SMB accounting studio archetype</t>
        </is>
      </c>
    </row>
    <row r="5">
      <c r="B5" s="3" t="inlineStr">
        <is>
          <t>Purpose</t>
        </is>
      </c>
    </row>
    <row r="6">
      <c r="B6" s="4" t="inlineStr">
        <is>
          <t>Show typical accounting practice margin baseline (~20% EBITDA) and</t>
        </is>
      </c>
    </row>
    <row r="7">
      <c r="B7" s="4" t="inlineStr">
        <is>
          <t>the realistic post-AI margin envelope (24-30% slow / 28-34% base / 32-38% aggressive).</t>
        </is>
      </c>
    </row>
    <row r="8">
      <c r="B8" s="4" t="inlineStr"/>
    </row>
    <row r="9">
      <c r="B9" s="4" t="inlineStr">
        <is>
          <t>Archetype: Italian SMB studio, 15 FTE, ~€1.95M revenue, 75% recurring book.</t>
        </is>
      </c>
    </row>
    <row r="10">
      <c r="B10" s="4" t="inlineStr">
        <is>
          <t>Consistent with Tier-1 target profile in the main research memo addendum.</t>
        </is>
      </c>
    </row>
    <row r="13">
      <c r="B13" s="3" t="inlineStr">
        <is>
          <t>Model contents</t>
        </is>
      </c>
    </row>
    <row r="14">
      <c r="B14" s="5" t="inlineStr">
        <is>
          <t>Cover</t>
        </is>
      </c>
      <c r="C14" s="4" t="inlineStr">
        <is>
          <t>this tab</t>
        </is>
      </c>
    </row>
    <row r="15">
      <c r="B15" s="5" t="inlineStr">
        <is>
          <t>Inputs</t>
        </is>
      </c>
      <c r="C15" s="4" t="inlineStr">
        <is>
          <t>all hardcoded assumptions (FTE, comp, rates, AI productivity gains)</t>
        </is>
      </c>
    </row>
    <row r="16">
      <c r="B16" s="5" t="inlineStr">
        <is>
          <t>Operating</t>
        </is>
      </c>
      <c r="C16" s="4" t="inlineStr">
        <is>
          <t>FTE &amp; cost build, revenue build, baseline vs post-AI</t>
        </is>
      </c>
    </row>
    <row r="17">
      <c r="B17" s="5" t="inlineStr">
        <is>
          <t>PL</t>
        </is>
      </c>
      <c r="C17" s="4" t="inlineStr">
        <is>
          <t>baseline P&amp;L vs post-AI P&amp;L side by side</t>
        </is>
      </c>
    </row>
    <row r="18">
      <c r="B18" s="5" t="inlineStr">
        <is>
          <t>Scenarios</t>
        </is>
      </c>
      <c r="C18" s="4" t="inlineStr">
        <is>
          <t>slow / base / aggressive AI deployment</t>
        </is>
      </c>
    </row>
    <row r="19">
      <c r="B19" s="5" t="inlineStr">
        <is>
          <t>Outputs</t>
        </is>
      </c>
      <c r="C19" s="4" t="inlineStr">
        <is>
          <t>margin transformation summary + roll-up math</t>
        </is>
      </c>
    </row>
    <row r="20">
      <c r="B20" s="5" t="inlineStr">
        <is>
          <t>Sources</t>
        </is>
      </c>
      <c r="C20" s="4" t="inlineStr">
        <is>
          <t>references and benchmarks</t>
        </is>
      </c>
    </row>
    <row r="22">
      <c r="B22" s="3" t="inlineStr">
        <is>
          <t>Switches</t>
        </is>
      </c>
    </row>
    <row r="23">
      <c r="B23" t="inlineStr">
        <is>
          <t>Scenario (1=Slow / 2=Base / 3=Aggressive)</t>
        </is>
      </c>
      <c r="C23" s="6" t="n">
        <v>2</v>
      </c>
    </row>
    <row r="24">
      <c r="B24" t="inlineStr">
        <is>
          <t>Display unit</t>
        </is>
      </c>
      <c r="C24" s="2" t="inlineStr">
        <is>
          <t>€ thousands (K)</t>
        </is>
      </c>
    </row>
    <row r="25">
      <c r="B25" t="inlineStr">
        <is>
          <t>Currency</t>
        </is>
      </c>
      <c r="C25" s="2" t="inlineStr">
        <is>
          <t>EUR</t>
        </is>
      </c>
    </row>
    <row r="28">
      <c r="B28" s="3" t="inlineStr">
        <is>
          <t>Version log</t>
        </is>
      </c>
    </row>
    <row r="29">
      <c r="B29" s="2" t="inlineStr">
        <is>
          <t>v1.0 · 21 May 2026 · Initial quick-draft margin model</t>
        </is>
      </c>
    </row>
  </sheetData>
  <mergeCells count="4">
    <mergeCell ref="B28:D28"/>
    <mergeCell ref="B13:D13"/>
    <mergeCell ref="B22:D22"/>
    <mergeCell ref="B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B1" s="7" t="inlineStr">
        <is>
          <t>Inputs — all hardcoded assumptions live here</t>
        </is>
      </c>
    </row>
    <row r="2">
      <c r="B2" s="2" t="inlineStr">
        <is>
          <t>Italian SMB accounting studio archetype · 15 FTE · €1.95M revenue baseline</t>
        </is>
      </c>
    </row>
    <row r="3">
      <c r="B3" s="2" t="inlineStr">
        <is>
          <t>All figures in € K unless stated</t>
        </is>
      </c>
    </row>
    <row r="5">
      <c r="B5" s="3" t="inlineStr">
        <is>
          <t>1. Headcount baseline (FTE)</t>
        </is>
      </c>
    </row>
    <row r="6">
      <c r="B6" s="8" t="inlineStr">
        <is>
          <t>Role</t>
        </is>
      </c>
      <c r="C6" s="8" t="inlineStr">
        <is>
          <t>Unit</t>
        </is>
      </c>
      <c r="D6" s="8" t="inlineStr">
        <is>
          <t>FTE</t>
        </is>
      </c>
      <c r="E6" s="8" t="inlineStr">
        <is>
          <t>Loaded comp/FTE (€K)</t>
        </is>
      </c>
      <c r="F6" s="8" t="inlineStr">
        <is>
          <t>Annual cost (€K)</t>
        </is>
      </c>
    </row>
    <row r="7">
      <c r="B7" t="inlineStr">
        <is>
          <t>Partners / owner (sole prop equiv.)</t>
        </is>
      </c>
      <c r="C7" s="2" t="inlineStr">
        <is>
          <t>FTE</t>
        </is>
      </c>
      <c r="D7" s="9" t="n">
        <v>1.5</v>
      </c>
      <c r="E7" s="10" t="n">
        <v>185</v>
      </c>
      <c r="F7" s="11">
        <f>D7*E7</f>
        <v/>
      </c>
    </row>
    <row r="8">
      <c r="B8" t="inlineStr">
        <is>
          <t>Senior / managers</t>
        </is>
      </c>
      <c r="C8" s="2" t="inlineStr">
        <is>
          <t>FTE</t>
        </is>
      </c>
      <c r="D8" s="9" t="n">
        <v>3</v>
      </c>
      <c r="E8" s="10" t="n">
        <v>90</v>
      </c>
      <c r="F8" s="11">
        <f>D8*E8</f>
        <v/>
      </c>
    </row>
    <row r="9">
      <c r="B9" t="inlineStr">
        <is>
          <t>Mid-level staff (Mid)</t>
        </is>
      </c>
      <c r="C9" s="2" t="inlineStr">
        <is>
          <t>FTE</t>
        </is>
      </c>
      <c r="D9" s="9" t="n">
        <v>5</v>
      </c>
      <c r="E9" s="10" t="n">
        <v>70</v>
      </c>
      <c r="F9" s="11">
        <f>D9*E9</f>
        <v/>
      </c>
    </row>
    <row r="10">
      <c r="B10" t="inlineStr">
        <is>
          <t>Junior staff (Staff)</t>
        </is>
      </c>
      <c r="C10" s="2" t="inlineStr">
        <is>
          <t>FTE</t>
        </is>
      </c>
      <c r="D10" s="9" t="n">
        <v>4</v>
      </c>
      <c r="E10" s="10" t="n">
        <v>45</v>
      </c>
      <c r="F10" s="11">
        <f>D10*E10</f>
        <v/>
      </c>
    </row>
    <row r="11">
      <c r="B11" t="inlineStr">
        <is>
          <t>Admin / paraprofessional</t>
        </is>
      </c>
      <c r="C11" s="2" t="inlineStr">
        <is>
          <t>FTE</t>
        </is>
      </c>
      <c r="D11" s="9" t="n">
        <v>1.5</v>
      </c>
      <c r="E11" s="10" t="n">
        <v>50</v>
      </c>
      <c r="F11" s="11">
        <f>D11*E11</f>
        <v/>
      </c>
    </row>
    <row r="12">
      <c r="B12" s="8" t="inlineStr">
        <is>
          <t>Total headcount baseline</t>
        </is>
      </c>
      <c r="D12" s="12">
        <f>SUM(D7:D11)</f>
        <v/>
      </c>
      <c r="F12" s="13">
        <f>SUM(F7:F11)</f>
        <v/>
      </c>
    </row>
    <row r="14">
      <c r="B14" s="3" t="inlineStr">
        <is>
          <t>2. Revenue assumptions</t>
        </is>
      </c>
    </row>
    <row r="15">
      <c r="B15" t="inlineStr">
        <is>
          <t>Revenue per FTE baseline (€K)</t>
        </is>
      </c>
      <c r="C15" s="2" t="inlineStr">
        <is>
          <t>€K</t>
        </is>
      </c>
      <c r="D15" s="10" t="n">
        <v>130</v>
      </c>
    </row>
    <row r="16">
      <c r="B16" s="8" t="inlineStr">
        <is>
          <t>Total revenue baseline</t>
        </is>
      </c>
      <c r="D16" s="13">
        <f>D12*D15</f>
        <v/>
      </c>
    </row>
    <row r="18">
      <c r="B18" s="3" t="inlineStr">
        <is>
          <t>Revenue mix</t>
        </is>
      </c>
    </row>
    <row r="19">
      <c r="B19" t="inlineStr">
        <is>
          <t>Recurring (bookkeeping, payroll, VAT, monthly)</t>
        </is>
      </c>
      <c r="C19" s="2" t="inlineStr">
        <is>
          <t>%</t>
        </is>
      </c>
      <c r="D19" s="14" t="n">
        <v>0.75</v>
      </c>
    </row>
    <row r="20">
      <c r="B20" t="inlineStr">
        <is>
          <t>Advisory &amp; consulting</t>
        </is>
      </c>
      <c r="C20" s="2" t="inlineStr">
        <is>
          <t>%</t>
        </is>
      </c>
      <c r="D20" s="14" t="n">
        <v>0.15</v>
      </c>
    </row>
    <row r="21">
      <c r="B21" t="inlineStr">
        <is>
          <t>One-off / project</t>
        </is>
      </c>
      <c r="C21" s="2" t="inlineStr">
        <is>
          <t>%</t>
        </is>
      </c>
      <c r="D21" s="14" t="n">
        <v>0.1</v>
      </c>
    </row>
    <row r="22">
      <c r="B22" s="8" t="inlineStr">
        <is>
          <t>Total</t>
        </is>
      </c>
      <c r="D22" s="15">
        <f>SUM(D19:D21)</f>
        <v/>
      </c>
    </row>
    <row r="24">
      <c r="B24" s="3" t="inlineStr">
        <is>
          <t>3. Non-people opex (baseline, % of revenue)</t>
        </is>
      </c>
    </row>
    <row r="25">
      <c r="B25" t="inlineStr">
        <is>
          <t>Software / licences (TeamSystem, Zucchetti, etc.)</t>
        </is>
      </c>
      <c r="C25" s="2" t="inlineStr">
        <is>
          <t>%</t>
        </is>
      </c>
      <c r="D25" s="14" t="n">
        <v>0.04</v>
      </c>
    </row>
    <row r="26">
      <c r="B26" t="inlineStr">
        <is>
          <t>Office rent &amp; utilities</t>
        </is>
      </c>
      <c r="C26" s="2" t="inlineStr">
        <is>
          <t>%</t>
        </is>
      </c>
      <c r="D26" s="14" t="n">
        <v>0.05</v>
      </c>
    </row>
    <row r="27">
      <c r="B27" t="inlineStr">
        <is>
          <t>Marketing / BD</t>
        </is>
      </c>
      <c r="C27" s="2" t="inlineStr">
        <is>
          <t>%</t>
        </is>
      </c>
      <c r="D27" s="14" t="n">
        <v>0.02</v>
      </c>
    </row>
    <row r="28">
      <c r="B28" t="inlineStr">
        <is>
          <t>Training &amp; professional subscriptions</t>
        </is>
      </c>
      <c r="C28" s="2" t="inlineStr">
        <is>
          <t>%</t>
        </is>
      </c>
      <c r="D28" s="14" t="n">
        <v>0.015</v>
      </c>
    </row>
    <row r="29">
      <c r="B29" t="inlineStr">
        <is>
          <t>Travel &amp; entertainment</t>
        </is>
      </c>
      <c r="C29" s="2" t="inlineStr">
        <is>
          <t>%</t>
        </is>
      </c>
      <c r="D29" s="14" t="n">
        <v>0.01</v>
      </c>
    </row>
    <row r="30">
      <c r="B30" t="inlineStr">
        <is>
          <t>Insurance / professional indemnity</t>
        </is>
      </c>
      <c r="C30" s="2" t="inlineStr">
        <is>
          <t>%</t>
        </is>
      </c>
      <c r="D30" s="14" t="n">
        <v>0.035</v>
      </c>
    </row>
    <row r="31">
      <c r="B31" t="inlineStr">
        <is>
          <t>Other admin / overhead</t>
        </is>
      </c>
      <c r="C31" s="2" t="inlineStr">
        <is>
          <t>%</t>
        </is>
      </c>
      <c r="D31" s="14" t="n">
        <v>0.04</v>
      </c>
    </row>
    <row r="32">
      <c r="B32" s="8" t="inlineStr">
        <is>
          <t>Total non-people opex (% revenue)</t>
        </is>
      </c>
      <c r="D32" s="15">
        <f>SUM(D25:D31)</f>
        <v/>
      </c>
    </row>
    <row r="34">
      <c r="B34" s="3" t="inlineStr">
        <is>
          <t>4. AI productivity gains by role (time freed, %)</t>
        </is>
      </c>
    </row>
    <row r="35">
      <c r="B35" s="8" t="inlineStr">
        <is>
          <t>Role</t>
        </is>
      </c>
      <c r="D35" s="8" t="inlineStr">
        <is>
          <t>Slow (Yr 1)</t>
        </is>
      </c>
      <c r="E35" s="8" t="inlineStr">
        <is>
          <t>Base (Yr 2)</t>
        </is>
      </c>
      <c r="F35" s="8" t="inlineStr">
        <is>
          <t>Aggressive (Yr 2)</t>
        </is>
      </c>
    </row>
    <row r="36">
      <c r="B36" t="inlineStr">
        <is>
          <t>Partners / senior</t>
        </is>
      </c>
      <c r="D36" s="14" t="n">
        <v>0.05</v>
      </c>
      <c r="E36" s="14" t="n">
        <v>0.1</v>
      </c>
      <c r="F36" s="14" t="n">
        <v>0.15</v>
      </c>
    </row>
    <row r="37">
      <c r="B37" t="inlineStr">
        <is>
          <t>Senior / managers</t>
        </is>
      </c>
      <c r="D37" s="14" t="n">
        <v>0.1</v>
      </c>
      <c r="E37" s="14" t="n">
        <v>0.2</v>
      </c>
      <c r="F37" s="14" t="n">
        <v>0.28</v>
      </c>
    </row>
    <row r="38">
      <c r="B38" t="inlineStr">
        <is>
          <t>Mid-level staff</t>
        </is>
      </c>
      <c r="D38" s="14" t="n">
        <v>0.15</v>
      </c>
      <c r="E38" s="14" t="n">
        <v>0.25</v>
      </c>
      <c r="F38" s="14" t="n">
        <v>0.35</v>
      </c>
    </row>
    <row r="39">
      <c r="B39" t="inlineStr">
        <is>
          <t>Junior staff</t>
        </is>
      </c>
      <c r="D39" s="14" t="n">
        <v>0.2</v>
      </c>
      <c r="E39" s="14" t="n">
        <v>0.35</v>
      </c>
      <c r="F39" s="14" t="n">
        <v>0.5</v>
      </c>
    </row>
    <row r="40">
      <c r="B40" t="inlineStr">
        <is>
          <t>Admin / paraprofessional</t>
        </is>
      </c>
      <c r="D40" s="14" t="n">
        <v>0.2</v>
      </c>
      <c r="E40" s="14" t="n">
        <v>0.4</v>
      </c>
      <c r="F40" s="14" t="n">
        <v>0.55</v>
      </c>
    </row>
    <row r="42">
      <c r="B42" s="3" t="inlineStr">
        <is>
          <t>5. AI tooling cost increase (€K/year)</t>
        </is>
      </c>
    </row>
    <row r="43">
      <c r="B43" t="inlineStr">
        <is>
          <t>Incremental AI software / IDP / copilot licenses</t>
        </is>
      </c>
      <c r="C43" s="2" t="inlineStr">
        <is>
          <t>€K</t>
        </is>
      </c>
      <c r="D43" s="10" t="n">
        <v>35</v>
      </c>
      <c r="E43" s="10" t="n">
        <v>60</v>
      </c>
      <c r="F43" s="10" t="n">
        <v>90</v>
      </c>
    </row>
    <row r="45">
      <c r="B45" s="3" t="inlineStr">
        <is>
          <t>6. How freed capacity is used (% to revenue vs % to cost cut)</t>
        </is>
      </c>
    </row>
    <row r="46">
      <c r="B46" t="inlineStr">
        <is>
          <t>Slow scenario — % to revenue uplift</t>
        </is>
      </c>
      <c r="C46" s="2" t="inlineStr">
        <is>
          <t>%</t>
        </is>
      </c>
      <c r="D46" s="14" t="n">
        <v>0.3</v>
      </c>
      <c r="E46" t="inlineStr">
        <is>
          <t>% to cost cut</t>
        </is>
      </c>
      <c r="F46" s="14" t="n">
        <v>0.7</v>
      </c>
    </row>
    <row r="47">
      <c r="B47" t="inlineStr">
        <is>
          <t>Base scenario — % to revenue uplift</t>
        </is>
      </c>
      <c r="C47" s="2" t="inlineStr">
        <is>
          <t>%</t>
        </is>
      </c>
      <c r="D47" s="14" t="n">
        <v>0.5</v>
      </c>
      <c r="E47" t="inlineStr">
        <is>
          <t>% to cost cut</t>
        </is>
      </c>
      <c r="F47" s="14" t="n">
        <v>0.5</v>
      </c>
    </row>
    <row r="48">
      <c r="B48" t="inlineStr">
        <is>
          <t>Aggressive scenario — % to revenue uplift</t>
        </is>
      </c>
      <c r="C48" s="2" t="inlineStr">
        <is>
          <t>%</t>
        </is>
      </c>
      <c r="D48" s="14" t="n">
        <v>0.7</v>
      </c>
      <c r="E48" t="inlineStr">
        <is>
          <t>% to cost cut</t>
        </is>
      </c>
      <c r="F48" s="14" t="n">
        <v>0.3</v>
      </c>
    </row>
    <row r="50">
      <c r="B50" s="3" t="inlineStr">
        <is>
          <t>7. Pricing uplift from AI-enabled service quality</t>
        </is>
      </c>
    </row>
    <row r="51">
      <c r="B51" t="inlineStr">
        <is>
          <t>Price uplift (faster turnaround, advisory mix)</t>
        </is>
      </c>
      <c r="C51" s="2" t="inlineStr">
        <is>
          <t>%</t>
        </is>
      </c>
      <c r="D51" s="14" t="n">
        <v>0.02</v>
      </c>
      <c r="E51" s="14" t="n">
        <v>0.04</v>
      </c>
      <c r="F51" s="14" t="n">
        <v>0.06</v>
      </c>
    </row>
  </sheetData>
  <mergeCells count="8">
    <mergeCell ref="B24:G24"/>
    <mergeCell ref="B34:G34"/>
    <mergeCell ref="B42:G42"/>
    <mergeCell ref="B5:G5"/>
    <mergeCell ref="B14:G14"/>
    <mergeCell ref="B45:G45"/>
    <mergeCell ref="B50:G50"/>
    <mergeCell ref="B18:G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4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B1" s="7" t="inlineStr">
        <is>
          <t>Operating Model — Revenue &amp; Cost Build</t>
        </is>
      </c>
    </row>
    <row r="2">
      <c r="B2" s="2" t="inlineStr">
        <is>
          <t>All figures in € K</t>
        </is>
      </c>
    </row>
    <row r="5">
      <c r="B5" s="16" t="inlineStr"/>
      <c r="C5" s="16" t="inlineStr"/>
      <c r="D5" s="16" t="inlineStr">
        <is>
          <t>Baseline</t>
        </is>
      </c>
      <c r="E5" s="16" t="inlineStr">
        <is>
          <t>Slow AI</t>
        </is>
      </c>
      <c r="F5" s="16" t="inlineStr">
        <is>
          <t>Base AI</t>
        </is>
      </c>
      <c r="G5" s="16" t="inlineStr">
        <is>
          <t>Aggressive AI</t>
        </is>
      </c>
    </row>
    <row r="7">
      <c r="B7" s="3" t="inlineStr">
        <is>
          <t>Headcount (FTE) — after AI deployment</t>
        </is>
      </c>
    </row>
    <row r="8">
      <c r="B8" t="inlineStr">
        <is>
          <t>Partners / senior</t>
        </is>
      </c>
      <c r="C8" s="2" t="inlineStr">
        <is>
          <t>FTE</t>
        </is>
      </c>
      <c r="D8" s="17">
        <f>Inputs!D7</f>
        <v/>
      </c>
      <c r="E8" s="17">
        <f>Inputs!D7*(1-Inputs!D36*Inputs!F46)</f>
        <v/>
      </c>
      <c r="F8" s="17">
        <f>Inputs!D7*(1-Inputs!E36*Inputs!F47)</f>
        <v/>
      </c>
      <c r="G8" s="17">
        <f>Inputs!D7*(1-Inputs!F36*Inputs!F48)</f>
        <v/>
      </c>
    </row>
    <row r="9">
      <c r="B9" t="inlineStr">
        <is>
          <t>Senior / managers</t>
        </is>
      </c>
      <c r="C9" s="2" t="inlineStr">
        <is>
          <t>FTE</t>
        </is>
      </c>
      <c r="D9" s="17">
        <f>Inputs!D8</f>
        <v/>
      </c>
      <c r="E9" s="17">
        <f>Inputs!D8*(1-Inputs!D37*Inputs!F46)</f>
        <v/>
      </c>
      <c r="F9" s="17">
        <f>Inputs!D8*(1-Inputs!E37*Inputs!F47)</f>
        <v/>
      </c>
      <c r="G9" s="17">
        <f>Inputs!D8*(1-Inputs!F37*Inputs!F48)</f>
        <v/>
      </c>
    </row>
    <row r="10">
      <c r="B10" t="inlineStr">
        <is>
          <t>Mid-level staff</t>
        </is>
      </c>
      <c r="C10" s="2" t="inlineStr">
        <is>
          <t>FTE</t>
        </is>
      </c>
      <c r="D10" s="17">
        <f>Inputs!D9</f>
        <v/>
      </c>
      <c r="E10" s="17">
        <f>Inputs!D9*(1-Inputs!D38*Inputs!F46)</f>
        <v/>
      </c>
      <c r="F10" s="17">
        <f>Inputs!D9*(1-Inputs!E38*Inputs!F47)</f>
        <v/>
      </c>
      <c r="G10" s="17">
        <f>Inputs!D9*(1-Inputs!F38*Inputs!F48)</f>
        <v/>
      </c>
    </row>
    <row r="11">
      <c r="B11" t="inlineStr">
        <is>
          <t>Junior staff</t>
        </is>
      </c>
      <c r="C11" s="2" t="inlineStr">
        <is>
          <t>FTE</t>
        </is>
      </c>
      <c r="D11" s="17">
        <f>Inputs!D10</f>
        <v/>
      </c>
      <c r="E11" s="17">
        <f>Inputs!D10*(1-Inputs!D39*Inputs!F46)</f>
        <v/>
      </c>
      <c r="F11" s="17">
        <f>Inputs!D10*(1-Inputs!E39*Inputs!F47)</f>
        <v/>
      </c>
      <c r="G11" s="17">
        <f>Inputs!D10*(1-Inputs!F39*Inputs!F48)</f>
        <v/>
      </c>
    </row>
    <row r="12">
      <c r="B12" t="inlineStr">
        <is>
          <t>Admin / paraprofessional</t>
        </is>
      </c>
      <c r="C12" s="2" t="inlineStr">
        <is>
          <t>FTE</t>
        </is>
      </c>
      <c r="D12" s="17">
        <f>Inputs!D11</f>
        <v/>
      </c>
      <c r="E12" s="17">
        <f>Inputs!D11*(1-Inputs!D40*Inputs!F46)</f>
        <v/>
      </c>
      <c r="F12" s="17">
        <f>Inputs!D11*(1-Inputs!E40*Inputs!F47)</f>
        <v/>
      </c>
      <c r="G12" s="17">
        <f>Inputs!D11*(1-Inputs!F40*Inputs!F48)</f>
        <v/>
      </c>
    </row>
    <row r="13">
      <c r="B13" s="8" t="inlineStr">
        <is>
          <t>Total FTE</t>
        </is>
      </c>
      <c r="D13" s="12">
        <f>SUM(D8:D12)</f>
        <v/>
      </c>
      <c r="E13" s="12">
        <f>SUM(E8:E12)</f>
        <v/>
      </c>
      <c r="F13" s="12">
        <f>SUM(F8:F12)</f>
        <v/>
      </c>
      <c r="G13" s="12">
        <f>SUM(G8:G12)</f>
        <v/>
      </c>
    </row>
    <row r="15">
      <c r="B15" s="3" t="inlineStr">
        <is>
          <t>Revenue build</t>
        </is>
      </c>
    </row>
    <row r="16">
      <c r="B16" t="inlineStr">
        <is>
          <t>Revenue/FTE baseline (€K)</t>
        </is>
      </c>
      <c r="C16" s="2" t="inlineStr">
        <is>
          <t>€K</t>
        </is>
      </c>
      <c r="D16" s="18">
        <f>Inputs!D15</f>
        <v/>
      </c>
    </row>
    <row r="17">
      <c r="B17" t="inlineStr">
        <is>
          <t>Weighted capacity freed (% of total labor capacity)</t>
        </is>
      </c>
      <c r="C17" s="2" t="inlineStr">
        <is>
          <t>%</t>
        </is>
      </c>
      <c r="D17" s="19" t="n">
        <v>0</v>
      </c>
      <c r="E17" s="20">
        <f>SUMPRODUCT(Inputs!D36:Inputs!D40,Inputs!F7:Inputs!F11)/Inputs!F12</f>
        <v/>
      </c>
      <c r="F17" s="20">
        <f>SUMPRODUCT(Inputs!E36:Inputs!E40,Inputs!F7:Inputs!F11)/Inputs!F12</f>
        <v/>
      </c>
      <c r="G17" s="20">
        <f>SUMPRODUCT(Inputs!F36:Inputs!F40,Inputs!F7:Inputs!F11)/Inputs!F12</f>
        <v/>
      </c>
    </row>
    <row r="18">
      <c r="B18" t="inlineStr">
        <is>
          <t>% of freed capacity used for revenue uplift</t>
        </is>
      </c>
      <c r="C18" s="2" t="inlineStr">
        <is>
          <t>%</t>
        </is>
      </c>
      <c r="D18" s="19" t="n">
        <v>0</v>
      </c>
      <c r="E18" s="20">
        <f>Inputs!D46</f>
        <v/>
      </c>
      <c r="F18" s="20">
        <f>Inputs!D47</f>
        <v/>
      </c>
      <c r="G18" s="20">
        <f>Inputs!D48</f>
        <v/>
      </c>
    </row>
    <row r="19">
      <c r="B19" t="inlineStr">
        <is>
          <t>Revenue volume uplift (capacity → clients)</t>
        </is>
      </c>
      <c r="C19" s="2" t="inlineStr">
        <is>
          <t>%</t>
        </is>
      </c>
      <c r="D19" s="19" t="n">
        <v>0</v>
      </c>
      <c r="E19" s="19">
        <f>E17*E18</f>
        <v/>
      </c>
      <c r="F19" s="19">
        <f>F17*F18</f>
        <v/>
      </c>
      <c r="G19" s="19">
        <f>G17*G18</f>
        <v/>
      </c>
    </row>
    <row r="20">
      <c r="B20" t="inlineStr">
        <is>
          <t>Price uplift</t>
        </is>
      </c>
      <c r="C20" s="2" t="inlineStr">
        <is>
          <t>%</t>
        </is>
      </c>
      <c r="D20" s="19" t="n">
        <v>0</v>
      </c>
      <c r="E20" s="20">
        <f>Inputs!D51</f>
        <v/>
      </c>
      <c r="F20" s="20">
        <f>Inputs!E51</f>
        <v/>
      </c>
      <c r="G20" s="20">
        <f>Inputs!F51</f>
        <v/>
      </c>
    </row>
    <row r="21">
      <c r="B21" s="8" t="inlineStr">
        <is>
          <t>Total revenue</t>
        </is>
      </c>
      <c r="D21" s="13">
        <f>Inputs!D16</f>
        <v/>
      </c>
      <c r="E21" s="13">
        <f>Inputs!D16*(1+E19)*(1+E20)</f>
        <v/>
      </c>
      <c r="F21" s="13">
        <f>Inputs!D16*(1+F19)*(1+F20)</f>
        <v/>
      </c>
      <c r="G21" s="13">
        <f>Inputs!D16*(1+G19)*(1+G20)</f>
        <v/>
      </c>
    </row>
    <row r="23">
      <c r="B23" s="3" t="inlineStr">
        <is>
          <t>Cost build</t>
        </is>
      </c>
    </row>
    <row r="24">
      <c r="B24" t="inlineStr">
        <is>
          <t>Partners / senior — labor cost</t>
        </is>
      </c>
      <c r="C24" s="2" t="inlineStr">
        <is>
          <t>€K</t>
        </is>
      </c>
      <c r="D24" s="18">
        <f>Inputs!F7</f>
        <v/>
      </c>
      <c r="E24" s="11">
        <f>E7*Inputs!E7</f>
        <v/>
      </c>
      <c r="F24" s="11">
        <f>F7*Inputs!E7</f>
        <v/>
      </c>
      <c r="G24" s="11">
        <f>G7*Inputs!E7</f>
        <v/>
      </c>
    </row>
    <row r="25">
      <c r="B25" t="inlineStr">
        <is>
          <t>Senior / managers — labor cost</t>
        </is>
      </c>
      <c r="C25" s="2" t="inlineStr">
        <is>
          <t>€K</t>
        </is>
      </c>
      <c r="D25" s="18">
        <f>Inputs!F8</f>
        <v/>
      </c>
      <c r="E25" s="11">
        <f>E8*Inputs!E8</f>
        <v/>
      </c>
      <c r="F25" s="11">
        <f>F8*Inputs!E8</f>
        <v/>
      </c>
      <c r="G25" s="11">
        <f>G8*Inputs!E8</f>
        <v/>
      </c>
    </row>
    <row r="26">
      <c r="B26" t="inlineStr">
        <is>
          <t>Mid-level staff — labor cost</t>
        </is>
      </c>
      <c r="C26" s="2" t="inlineStr">
        <is>
          <t>€K</t>
        </is>
      </c>
      <c r="D26" s="18">
        <f>Inputs!F9</f>
        <v/>
      </c>
      <c r="E26" s="11">
        <f>E9*Inputs!E9</f>
        <v/>
      </c>
      <c r="F26" s="11">
        <f>F9*Inputs!E9</f>
        <v/>
      </c>
      <c r="G26" s="11">
        <f>G9*Inputs!E9</f>
        <v/>
      </c>
    </row>
    <row r="27">
      <c r="B27" t="inlineStr">
        <is>
          <t>Junior staff — labor cost</t>
        </is>
      </c>
      <c r="C27" s="2" t="inlineStr">
        <is>
          <t>€K</t>
        </is>
      </c>
      <c r="D27" s="18">
        <f>Inputs!F10</f>
        <v/>
      </c>
      <c r="E27" s="11">
        <f>E10*Inputs!E10</f>
        <v/>
      </c>
      <c r="F27" s="11">
        <f>F10*Inputs!E10</f>
        <v/>
      </c>
      <c r="G27" s="11">
        <f>G10*Inputs!E10</f>
        <v/>
      </c>
    </row>
    <row r="28">
      <c r="B28" t="inlineStr">
        <is>
          <t>Admin / paraprofessional — labor cost</t>
        </is>
      </c>
      <c r="C28" s="2" t="inlineStr">
        <is>
          <t>€K</t>
        </is>
      </c>
      <c r="D28" s="18">
        <f>Inputs!F11</f>
        <v/>
      </c>
      <c r="E28" s="11">
        <f>E11*Inputs!E11</f>
        <v/>
      </c>
      <c r="F28" s="11">
        <f>F11*Inputs!E11</f>
        <v/>
      </c>
      <c r="G28" s="11">
        <f>G11*Inputs!E11</f>
        <v/>
      </c>
    </row>
    <row r="29">
      <c r="B29" s="8" t="inlineStr">
        <is>
          <t>Total labor cost</t>
        </is>
      </c>
      <c r="D29" s="13">
        <f>SUM(D24:D28)</f>
        <v/>
      </c>
      <c r="E29" s="13">
        <f>SUM(E24:E28)</f>
        <v/>
      </c>
      <c r="F29" s="13">
        <f>SUM(F24:F28)</f>
        <v/>
      </c>
      <c r="G29" s="13">
        <f>SUM(G24:G28)</f>
        <v/>
      </c>
    </row>
    <row r="31">
      <c r="B31" t="inlineStr">
        <is>
          <t>Non-people opex (% of revenue)</t>
        </is>
      </c>
      <c r="C31" s="2" t="inlineStr">
        <is>
          <t>%</t>
        </is>
      </c>
      <c r="D31" s="20">
        <f>Inputs!D32</f>
        <v/>
      </c>
      <c r="E31" s="20">
        <f>Inputs!D32</f>
        <v/>
      </c>
      <c r="F31" s="20">
        <f>Inputs!D32</f>
        <v/>
      </c>
      <c r="G31" s="20">
        <f>Inputs!D32</f>
        <v/>
      </c>
    </row>
    <row r="32">
      <c r="B32" t="inlineStr">
        <is>
          <t>Non-people opex (€K)</t>
        </is>
      </c>
      <c r="C32" s="2" t="inlineStr">
        <is>
          <t>€K</t>
        </is>
      </c>
      <c r="D32" s="11">
        <f>D21*D31</f>
        <v/>
      </c>
      <c r="E32" s="11">
        <f>E21*E31</f>
        <v/>
      </c>
      <c r="F32" s="11">
        <f>F21*F31</f>
        <v/>
      </c>
      <c r="G32" s="11">
        <f>G21*G31</f>
        <v/>
      </c>
    </row>
    <row r="33">
      <c r="B33" t="inlineStr">
        <is>
          <t>Incremental AI tooling cost (€K)</t>
        </is>
      </c>
      <c r="C33" s="2" t="inlineStr">
        <is>
          <t>€K</t>
        </is>
      </c>
      <c r="D33" s="11" t="n">
        <v>0</v>
      </c>
      <c r="E33" s="18">
        <f>Inputs!D43</f>
        <v/>
      </c>
      <c r="F33" s="18">
        <f>Inputs!E43</f>
        <v/>
      </c>
      <c r="G33" s="18">
        <f>Inputs!F43</f>
        <v/>
      </c>
    </row>
    <row r="35">
      <c r="B35" s="8" t="inlineStr">
        <is>
          <t>EBITDA</t>
        </is>
      </c>
      <c r="D35" s="13">
        <f>D21-D29-D32-D33</f>
        <v/>
      </c>
      <c r="E35" s="13">
        <f>E21-E29-E32-E33</f>
        <v/>
      </c>
      <c r="F35" s="13">
        <f>F21-F29-F32-F33</f>
        <v/>
      </c>
      <c r="G35" s="13">
        <f>G21-G29-G32-G33</f>
        <v/>
      </c>
    </row>
    <row r="36">
      <c r="B36" s="8" t="inlineStr">
        <is>
          <t>EBITDA margin</t>
        </is>
      </c>
      <c r="D36" s="15">
        <f>D35/D21</f>
        <v/>
      </c>
      <c r="E36" s="15">
        <f>E35/E21</f>
        <v/>
      </c>
      <c r="F36" s="15">
        <f>F35/F21</f>
        <v/>
      </c>
      <c r="G36" s="15">
        <f>G35/G21</f>
        <v/>
      </c>
    </row>
    <row r="38">
      <c r="B38" t="inlineStr">
        <is>
          <t>Owner comp normalization (addback)</t>
        </is>
      </c>
      <c r="C38" s="2" t="inlineStr">
        <is>
          <t>€K</t>
        </is>
      </c>
      <c r="D38" s="10" t="n">
        <v>65</v>
      </c>
      <c r="E38" s="11">
        <f>D38</f>
        <v/>
      </c>
      <c r="F38" s="11">
        <f>D38</f>
        <v/>
      </c>
      <c r="G38" s="11">
        <f>D38</f>
        <v/>
      </c>
    </row>
    <row r="39">
      <c r="B39" s="8" t="inlineStr">
        <is>
          <t>Adjusted EBITDA</t>
        </is>
      </c>
      <c r="D39" s="13">
        <f>D35+D38</f>
        <v/>
      </c>
      <c r="E39" s="13">
        <f>E35+E38</f>
        <v/>
      </c>
      <c r="F39" s="13">
        <f>F35+F38</f>
        <v/>
      </c>
      <c r="G39" s="13">
        <f>G35+G38</f>
        <v/>
      </c>
    </row>
    <row r="40">
      <c r="B40" s="8" t="inlineStr">
        <is>
          <t>Adjusted EBITDA margin</t>
        </is>
      </c>
      <c r="D40" s="15">
        <f>D39/D21</f>
        <v/>
      </c>
      <c r="E40" s="15">
        <f>E39/E21</f>
        <v/>
      </c>
      <c r="F40" s="15">
        <f>F39/F21</f>
        <v/>
      </c>
      <c r="G40" s="15">
        <f>G39/G21</f>
        <v/>
      </c>
    </row>
  </sheetData>
  <mergeCells count="3">
    <mergeCell ref="B15:G15"/>
    <mergeCell ref="B7:G7"/>
    <mergeCell ref="B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37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8" customWidth="1" min="3" max="3"/>
    <col width="14" customWidth="1" min="4" max="4"/>
    <col width="14" customWidth="1" min="5" max="5"/>
    <col width="14" customWidth="1" min="6" max="6"/>
  </cols>
  <sheetData>
    <row r="1">
      <c r="B1" s="7" t="inlineStr">
        <is>
          <t>P&amp;L — Baseline vs Post-AI (Base scenario)</t>
        </is>
      </c>
    </row>
    <row r="2">
      <c r="B2" s="2" t="inlineStr">
        <is>
          <t>Side-by-side P&amp;L showing margin transformation. All figures in € K.</t>
        </is>
      </c>
    </row>
    <row r="5">
      <c r="B5" s="16" t="inlineStr"/>
      <c r="C5" s="16" t="inlineStr"/>
      <c r="D5" s="16" t="inlineStr">
        <is>
          <t>Baseline</t>
        </is>
      </c>
      <c r="E5" s="16" t="inlineStr">
        <is>
          <t>Post-AI (Base)</t>
        </is>
      </c>
      <c r="F5" s="16" t="inlineStr">
        <is>
          <t>Δ</t>
        </is>
      </c>
    </row>
    <row r="7">
      <c r="B7" s="3" t="inlineStr">
        <is>
          <t>Revenue</t>
        </is>
      </c>
    </row>
    <row r="8">
      <c r="B8" t="inlineStr">
        <is>
          <t>Recurring (bookkeeping, payroll, VAT)</t>
        </is>
      </c>
      <c r="C8" s="2" t="inlineStr">
        <is>
          <t>€K</t>
        </is>
      </c>
      <c r="D8" s="18">
        <f>Operating!D21*Inputs!D19</f>
        <v/>
      </c>
      <c r="E8" s="18">
        <f>Operating!F21*Inputs!D19</f>
        <v/>
      </c>
      <c r="F8" s="11">
        <f>E8-D8</f>
        <v/>
      </c>
    </row>
    <row r="9">
      <c r="B9" t="inlineStr">
        <is>
          <t>Advisory &amp; consulting</t>
        </is>
      </c>
      <c r="C9" s="2" t="inlineStr">
        <is>
          <t>€K</t>
        </is>
      </c>
      <c r="D9" s="18">
        <f>Operating!D21*Inputs!D20</f>
        <v/>
      </c>
      <c r="E9" s="18">
        <f>Operating!F21*Inputs!D20</f>
        <v/>
      </c>
      <c r="F9" s="11">
        <f>E9-D9</f>
        <v/>
      </c>
    </row>
    <row r="10">
      <c r="B10" t="inlineStr">
        <is>
          <t>One-off / project</t>
        </is>
      </c>
      <c r="C10" s="2" t="inlineStr">
        <is>
          <t>€K</t>
        </is>
      </c>
      <c r="D10" s="18">
        <f>Operating!D21*Inputs!D21</f>
        <v/>
      </c>
      <c r="E10" s="18">
        <f>Operating!F21*Inputs!D21</f>
        <v/>
      </c>
      <c r="F10" s="11">
        <f>E10-D10</f>
        <v/>
      </c>
    </row>
    <row r="11">
      <c r="B11" s="8" t="inlineStr">
        <is>
          <t>Total revenue</t>
        </is>
      </c>
      <c r="D11" s="13">
        <f>SUM(D8:D10)</f>
        <v/>
      </c>
      <c r="E11" s="13">
        <f>SUM(E8:E10)</f>
        <v/>
      </c>
      <c r="F11" s="13">
        <f>E11-D11</f>
        <v/>
      </c>
    </row>
    <row r="13">
      <c r="B13" s="3" t="inlineStr">
        <is>
          <t>Operating costs</t>
        </is>
      </c>
    </row>
    <row r="14">
      <c r="B14" t="inlineStr">
        <is>
          <t>Partners / senior — labor cost</t>
        </is>
      </c>
      <c r="C14" s="2" t="inlineStr">
        <is>
          <t>€K</t>
        </is>
      </c>
      <c r="D14" s="18">
        <f>Operating!D24</f>
        <v/>
      </c>
      <c r="E14" s="18">
        <f>Operating!F24</f>
        <v/>
      </c>
      <c r="F14" s="11">
        <f>E14-D14</f>
        <v/>
      </c>
    </row>
    <row r="15">
      <c r="B15" t="inlineStr">
        <is>
          <t>Senior / managers — labor cost</t>
        </is>
      </c>
      <c r="C15" s="2" t="inlineStr">
        <is>
          <t>€K</t>
        </is>
      </c>
      <c r="D15" s="18">
        <f>Operating!D25</f>
        <v/>
      </c>
      <c r="E15" s="18">
        <f>Operating!F25</f>
        <v/>
      </c>
      <c r="F15" s="11">
        <f>E15-D15</f>
        <v/>
      </c>
    </row>
    <row r="16">
      <c r="B16" t="inlineStr">
        <is>
          <t>Mid-level staff — labor cost</t>
        </is>
      </c>
      <c r="C16" s="2" t="inlineStr">
        <is>
          <t>€K</t>
        </is>
      </c>
      <c r="D16" s="18">
        <f>Operating!D26</f>
        <v/>
      </c>
      <c r="E16" s="18">
        <f>Operating!F26</f>
        <v/>
      </c>
      <c r="F16" s="11">
        <f>E16-D16</f>
        <v/>
      </c>
    </row>
    <row r="17">
      <c r="B17" t="inlineStr">
        <is>
          <t>Junior staff — labor cost</t>
        </is>
      </c>
      <c r="C17" s="2" t="inlineStr">
        <is>
          <t>€K</t>
        </is>
      </c>
      <c r="D17" s="18">
        <f>Operating!D27</f>
        <v/>
      </c>
      <c r="E17" s="18">
        <f>Operating!F27</f>
        <v/>
      </c>
      <c r="F17" s="11">
        <f>E17-D17</f>
        <v/>
      </c>
    </row>
    <row r="18">
      <c r="B18" t="inlineStr">
        <is>
          <t>Admin / paraprofessional — labor cost</t>
        </is>
      </c>
      <c r="C18" s="2" t="inlineStr">
        <is>
          <t>€K</t>
        </is>
      </c>
      <c r="D18" s="18">
        <f>Operating!D28</f>
        <v/>
      </c>
      <c r="E18" s="18">
        <f>Operating!F28</f>
        <v/>
      </c>
      <c r="F18" s="11">
        <f>E18-D18</f>
        <v/>
      </c>
    </row>
    <row r="19">
      <c r="B19" s="8" t="inlineStr">
        <is>
          <t>Total labor cost</t>
        </is>
      </c>
      <c r="D19" s="13">
        <f>SUM(D14:D18)</f>
        <v/>
      </c>
      <c r="E19" s="13">
        <f>SUM(E14:E18)</f>
        <v/>
      </c>
      <c r="F19" s="13">
        <f>E19-D19</f>
        <v/>
      </c>
    </row>
    <row r="20">
      <c r="B20" t="inlineStr">
        <is>
          <t>Labor as % of revenue</t>
        </is>
      </c>
      <c r="C20" s="2" t="inlineStr">
        <is>
          <t>%</t>
        </is>
      </c>
      <c r="D20" s="19">
        <f>D19/D11</f>
        <v/>
      </c>
      <c r="E20" s="19">
        <f>E19/E11</f>
        <v/>
      </c>
      <c r="F20" s="19">
        <f>E20-D20</f>
        <v/>
      </c>
    </row>
    <row r="22">
      <c r="B22" t="inlineStr">
        <is>
          <t>Software / licences (TeamSystem, Zucchetti, etc.)</t>
        </is>
      </c>
      <c r="C22" s="2" t="inlineStr">
        <is>
          <t>€K</t>
        </is>
      </c>
      <c r="D22" s="18">
        <f>D11*Inputs!D25</f>
        <v/>
      </c>
      <c r="E22" s="18">
        <f>E11*Inputs!D25</f>
        <v/>
      </c>
      <c r="F22" s="11">
        <f>E22-D22</f>
        <v/>
      </c>
    </row>
    <row r="23">
      <c r="B23" t="inlineStr">
        <is>
          <t>Office rent &amp; utilities</t>
        </is>
      </c>
      <c r="C23" s="2" t="inlineStr">
        <is>
          <t>€K</t>
        </is>
      </c>
      <c r="D23" s="18">
        <f>D11*Inputs!D26</f>
        <v/>
      </c>
      <c r="E23" s="18">
        <f>E11*Inputs!D26</f>
        <v/>
      </c>
      <c r="F23" s="11">
        <f>E23-D23</f>
        <v/>
      </c>
    </row>
    <row r="24">
      <c r="B24" t="inlineStr">
        <is>
          <t>Marketing / BD</t>
        </is>
      </c>
      <c r="C24" s="2" t="inlineStr">
        <is>
          <t>€K</t>
        </is>
      </c>
      <c r="D24" s="18">
        <f>D11*Inputs!D27</f>
        <v/>
      </c>
      <c r="E24" s="18">
        <f>E11*Inputs!D27</f>
        <v/>
      </c>
      <c r="F24" s="11">
        <f>E24-D24</f>
        <v/>
      </c>
    </row>
    <row r="25">
      <c r="B25" t="inlineStr">
        <is>
          <t>Training &amp; professional subscriptions</t>
        </is>
      </c>
      <c r="C25" s="2" t="inlineStr">
        <is>
          <t>€K</t>
        </is>
      </c>
      <c r="D25" s="18">
        <f>D11*Inputs!D28</f>
        <v/>
      </c>
      <c r="E25" s="18">
        <f>E11*Inputs!D28</f>
        <v/>
      </c>
      <c r="F25" s="11">
        <f>E25-D25</f>
        <v/>
      </c>
    </row>
    <row r="26">
      <c r="B26" t="inlineStr">
        <is>
          <t>Travel &amp; entertainment</t>
        </is>
      </c>
      <c r="C26" s="2" t="inlineStr">
        <is>
          <t>€K</t>
        </is>
      </c>
      <c r="D26" s="18">
        <f>D11*Inputs!D29</f>
        <v/>
      </c>
      <c r="E26" s="18">
        <f>E11*Inputs!D29</f>
        <v/>
      </c>
      <c r="F26" s="11">
        <f>E26-D26</f>
        <v/>
      </c>
    </row>
    <row r="27">
      <c r="B27" t="inlineStr">
        <is>
          <t>Insurance / professional indemnity</t>
        </is>
      </c>
      <c r="C27" s="2" t="inlineStr">
        <is>
          <t>€K</t>
        </is>
      </c>
      <c r="D27" s="18">
        <f>D11*Inputs!D30</f>
        <v/>
      </c>
      <c r="E27" s="18">
        <f>E11*Inputs!D30</f>
        <v/>
      </c>
      <c r="F27" s="11">
        <f>E27-D27</f>
        <v/>
      </c>
    </row>
    <row r="28">
      <c r="B28" t="inlineStr">
        <is>
          <t>Other admin / overhead</t>
        </is>
      </c>
      <c r="C28" s="2" t="inlineStr">
        <is>
          <t>€K</t>
        </is>
      </c>
      <c r="D28" s="18">
        <f>D11*Inputs!D31</f>
        <v/>
      </c>
      <c r="E28" s="18">
        <f>E11*Inputs!D31</f>
        <v/>
      </c>
      <c r="F28" s="11">
        <f>E28-D28</f>
        <v/>
      </c>
    </row>
    <row r="29">
      <c r="B29" t="inlineStr">
        <is>
          <t>Incremental AI tooling</t>
        </is>
      </c>
      <c r="C29" s="2" t="inlineStr">
        <is>
          <t>€K</t>
        </is>
      </c>
      <c r="D29" s="11" t="n">
        <v>0</v>
      </c>
      <c r="E29" s="18">
        <f>Inputs!E43</f>
        <v/>
      </c>
      <c r="F29" s="11">
        <f>E29-D29</f>
        <v/>
      </c>
    </row>
    <row r="30">
      <c r="B30" s="8" t="inlineStr">
        <is>
          <t>Total non-people opex</t>
        </is>
      </c>
      <c r="D30" s="13">
        <f>SUM(D22:D29)</f>
        <v/>
      </c>
      <c r="E30" s="13">
        <f>SUM(E22:E29)</f>
        <v/>
      </c>
      <c r="F30" s="13">
        <f>E30-D30</f>
        <v/>
      </c>
    </row>
    <row r="32">
      <c r="B32" s="8" t="inlineStr">
        <is>
          <t>EBITDA</t>
        </is>
      </c>
      <c r="D32" s="21">
        <f>D11-D19-D30</f>
        <v/>
      </c>
      <c r="E32" s="21">
        <f>E11-E19-E30</f>
        <v/>
      </c>
      <c r="F32" s="21">
        <f>E32-D32</f>
        <v/>
      </c>
    </row>
    <row r="33">
      <c r="B33" s="8" t="inlineStr">
        <is>
          <t>EBITDA margin</t>
        </is>
      </c>
      <c r="D33" s="22">
        <f>D32/D11</f>
        <v/>
      </c>
      <c r="E33" s="22">
        <f>E32/E11</f>
        <v/>
      </c>
      <c r="F33" s="22">
        <f>E33-D33</f>
        <v/>
      </c>
    </row>
    <row r="35">
      <c r="B35" t="inlineStr">
        <is>
          <t>Owner comp normalization addback</t>
        </is>
      </c>
      <c r="C35" s="2" t="inlineStr">
        <is>
          <t>€K</t>
        </is>
      </c>
      <c r="D35" s="18">
        <f>Operating!D38</f>
        <v/>
      </c>
      <c r="E35" s="18">
        <f>Operating!F38</f>
        <v/>
      </c>
    </row>
    <row r="36">
      <c r="B36" s="8" t="inlineStr">
        <is>
          <t>Adjusted EBITDA (what PE pays for)</t>
        </is>
      </c>
      <c r="D36" s="23">
        <f>D32+D35</f>
        <v/>
      </c>
      <c r="E36" s="23">
        <f>E32+E35</f>
        <v/>
      </c>
      <c r="F36" s="23">
        <f>E36-D36</f>
        <v/>
      </c>
    </row>
    <row r="37">
      <c r="B37" s="8" t="inlineStr">
        <is>
          <t>Adjusted EBITDA margin</t>
        </is>
      </c>
      <c r="D37" s="24">
        <f>D36/D11</f>
        <v/>
      </c>
      <c r="E37" s="24">
        <f>E36/E11</f>
        <v/>
      </c>
      <c r="F37" s="24">
        <f>E37-D37</f>
        <v/>
      </c>
    </row>
  </sheetData>
  <mergeCells count="2">
    <mergeCell ref="B7:F7"/>
    <mergeCell ref="B13:F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B1" s="7" t="inlineStr">
        <is>
          <t>Scenarios — Slow / Base / Aggressive AI deployment</t>
        </is>
      </c>
    </row>
    <row r="2">
      <c r="B2" s="2" t="inlineStr">
        <is>
          <t>Comparison of margin envelope across three AI deployment paths</t>
        </is>
      </c>
    </row>
    <row r="5">
      <c r="B5" s="16" t="inlineStr"/>
      <c r="C5" s="16" t="inlineStr"/>
      <c r="D5" s="16" t="inlineStr">
        <is>
          <t>Baseline</t>
        </is>
      </c>
      <c r="E5" s="16" t="inlineStr">
        <is>
          <t>Slow AI</t>
        </is>
      </c>
      <c r="F5" s="16" t="inlineStr">
        <is>
          <t>Base AI</t>
        </is>
      </c>
      <c r="G5" s="16" t="inlineStr">
        <is>
          <t>Aggressive AI</t>
        </is>
      </c>
    </row>
    <row r="7">
      <c r="B7" s="3" t="inlineStr">
        <is>
          <t>Headline metrics</t>
        </is>
      </c>
    </row>
    <row r="8">
      <c r="B8" t="inlineStr">
        <is>
          <t>Total revenue (€K)</t>
        </is>
      </c>
      <c r="D8" s="18">
        <f>Operating!D21</f>
        <v/>
      </c>
      <c r="E8" s="18">
        <f>Operating!E21</f>
        <v/>
      </c>
      <c r="F8" s="18">
        <f>Operating!F21</f>
        <v/>
      </c>
      <c r="G8" s="18">
        <f>Operating!G21</f>
        <v/>
      </c>
    </row>
    <row r="9">
      <c r="B9" s="8" t="inlineStr">
        <is>
          <t>Total FTE</t>
        </is>
      </c>
      <c r="D9" s="17">
        <f>Operating!D13</f>
        <v/>
      </c>
      <c r="E9" s="17">
        <f>Operating!E13</f>
        <v/>
      </c>
      <c r="F9" s="17">
        <f>Operating!F13</f>
        <v/>
      </c>
      <c r="G9" s="17">
        <f>Operating!G13</f>
        <v/>
      </c>
    </row>
    <row r="10">
      <c r="B10" t="inlineStr">
        <is>
          <t>Total labor cost (€K)</t>
        </is>
      </c>
      <c r="D10" s="18">
        <f>Operating!D29</f>
        <v/>
      </c>
      <c r="E10" s="18">
        <f>Operating!E29</f>
        <v/>
      </c>
      <c r="F10" s="18">
        <f>Operating!F29</f>
        <v/>
      </c>
      <c r="G10" s="18">
        <f>Operating!G29</f>
        <v/>
      </c>
    </row>
    <row r="11">
      <c r="B11" t="inlineStr">
        <is>
          <t>Labor as % of revenue</t>
        </is>
      </c>
      <c r="D11" s="20">
        <f>Operating!D29/Operating!D21</f>
        <v/>
      </c>
      <c r="E11" s="20">
        <f>Operating!E29/Operating!E21</f>
        <v/>
      </c>
      <c r="F11" s="20">
        <f>Operating!F29/Operating!F21</f>
        <v/>
      </c>
      <c r="G11" s="20">
        <f>Operating!G29/Operating!G21</f>
        <v/>
      </c>
    </row>
    <row r="12">
      <c r="B12" t="inlineStr">
        <is>
          <t>Non-people opex (€K)</t>
        </is>
      </c>
      <c r="D12" s="18">
        <f>Operating!D32</f>
        <v/>
      </c>
      <c r="E12" s="18">
        <f>Operating!E32</f>
        <v/>
      </c>
      <c r="F12" s="18">
        <f>Operating!F32</f>
        <v/>
      </c>
      <c r="G12" s="18">
        <f>Operating!G32</f>
        <v/>
      </c>
    </row>
    <row r="13">
      <c r="B13" t="inlineStr">
        <is>
          <t>Incremental AI tooling (€K)</t>
        </is>
      </c>
      <c r="D13" s="18">
        <f>Operating!D33</f>
        <v/>
      </c>
      <c r="E13" s="18">
        <f>Operating!E33</f>
        <v/>
      </c>
      <c r="F13" s="18">
        <f>Operating!F33</f>
        <v/>
      </c>
      <c r="G13" s="18">
        <f>Operating!G33</f>
        <v/>
      </c>
    </row>
    <row r="14">
      <c r="B14" s="8" t="inlineStr">
        <is>
          <t>EBITDA (€K)</t>
        </is>
      </c>
      <c r="D14" s="25">
        <f>Operating!D35</f>
        <v/>
      </c>
      <c r="E14" s="25">
        <f>Operating!E35</f>
        <v/>
      </c>
      <c r="F14" s="25">
        <f>Operating!F35</f>
        <v/>
      </c>
      <c r="G14" s="25">
        <f>Operating!G35</f>
        <v/>
      </c>
    </row>
    <row r="15">
      <c r="B15" s="8" t="inlineStr">
        <is>
          <t>EBITDA margin</t>
        </is>
      </c>
      <c r="D15" s="26">
        <f>Operating!D36</f>
        <v/>
      </c>
      <c r="E15" s="26">
        <f>Operating!E36</f>
        <v/>
      </c>
      <c r="F15" s="26">
        <f>Operating!F36</f>
        <v/>
      </c>
      <c r="G15" s="26">
        <f>Operating!G36</f>
        <v/>
      </c>
    </row>
    <row r="16">
      <c r="B16" s="8" t="inlineStr">
        <is>
          <t>Adjusted EBITDA (€K)</t>
        </is>
      </c>
      <c r="D16" s="25">
        <f>Operating!D39</f>
        <v/>
      </c>
      <c r="E16" s="25">
        <f>Operating!E39</f>
        <v/>
      </c>
      <c r="F16" s="25">
        <f>Operating!F39</f>
        <v/>
      </c>
      <c r="G16" s="25">
        <f>Operating!G39</f>
        <v/>
      </c>
    </row>
    <row r="17">
      <c r="B17" s="8" t="inlineStr">
        <is>
          <t>Adjusted EBITDA margin</t>
        </is>
      </c>
      <c r="D17" s="26">
        <f>Operating!D40</f>
        <v/>
      </c>
      <c r="E17" s="26">
        <f>Operating!E40</f>
        <v/>
      </c>
      <c r="F17" s="26">
        <f>Operating!F40</f>
        <v/>
      </c>
      <c r="G17" s="26">
        <f>Operating!G40</f>
        <v/>
      </c>
    </row>
    <row r="19">
      <c r="B19" s="3" t="inlineStr">
        <is>
          <t>Δ vs baseline (margin &amp; abs EBITDA)</t>
        </is>
      </c>
    </row>
    <row r="20">
      <c r="B20" s="8" t="inlineStr">
        <is>
          <t>Δ Adj EBITDA margin (pp)</t>
        </is>
      </c>
      <c r="D20" s="19" t="n">
        <v>0</v>
      </c>
      <c r="E20" s="26">
        <f>E17-D17</f>
        <v/>
      </c>
      <c r="F20" s="26">
        <f>F17-D17</f>
        <v/>
      </c>
      <c r="G20" s="26">
        <f>G17-D17</f>
        <v/>
      </c>
    </row>
    <row r="21">
      <c r="B21" s="8" t="inlineStr">
        <is>
          <t>Δ Adj EBITDA absolute (€K)</t>
        </is>
      </c>
      <c r="D21" s="11" t="n">
        <v>0</v>
      </c>
      <c r="E21" s="25">
        <f>E16-D16</f>
        <v/>
      </c>
      <c r="F21" s="25">
        <f>F16-D16</f>
        <v/>
      </c>
      <c r="G21" s="25">
        <f>G16-D16</f>
        <v/>
      </c>
    </row>
    <row r="22">
      <c r="B22" s="8" t="inlineStr">
        <is>
          <t>Δ Adj EBITDA % (vs baseline)</t>
        </is>
      </c>
      <c r="D22" s="19" t="n">
        <v>0</v>
      </c>
      <c r="E22" s="26">
        <f>E16/D16-1</f>
        <v/>
      </c>
      <c r="F22" s="26">
        <f>F16/D16-1</f>
        <v/>
      </c>
      <c r="G22" s="26">
        <f>G16/D16-1</f>
        <v/>
      </c>
    </row>
    <row r="24">
      <c r="B24" s="3" t="inlineStr">
        <is>
          <t>Notes on scenarios</t>
        </is>
      </c>
    </row>
    <row r="25">
      <c r="B25" s="5" t="inlineStr">
        <is>
          <t>Slow</t>
        </is>
      </c>
      <c r="C25" s="27" t="inlineStr">
        <is>
          <t>Year 1 of deployment. 30% of freed capacity → revenue, 70% → cost cut. Conservative AI gains.</t>
        </is>
      </c>
    </row>
    <row r="26">
      <c r="B26" s="5" t="inlineStr">
        <is>
          <t>Base</t>
        </is>
      </c>
      <c r="C26" s="27" t="inlineStr">
        <is>
          <t>Year 2 full deployment. 50/50 split. Realistic mid-case for disciplined operator.</t>
        </is>
      </c>
    </row>
    <row r="27">
      <c r="B27" s="5" t="inlineStr">
        <is>
          <t>Aggressive</t>
        </is>
      </c>
      <c r="C27" s="27" t="inlineStr">
        <is>
          <t>Year 2-3, growth-first. 70% capacity → revenue, 30% → cost cut. Requires sales engine.</t>
        </is>
      </c>
    </row>
  </sheetData>
  <mergeCells count="6">
    <mergeCell ref="B24:G24"/>
    <mergeCell ref="B19:G19"/>
    <mergeCell ref="C25:G25"/>
    <mergeCell ref="C27:G27"/>
    <mergeCell ref="B7:G7"/>
    <mergeCell ref="C26:G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B1" s="7" t="inlineStr">
        <is>
          <t>Outputs — Margin Transformation &amp; Roll-Up Math</t>
        </is>
      </c>
    </row>
    <row r="2">
      <c r="B2" s="2" t="inlineStr">
        <is>
          <t>Single-firm transformation × roll-up math = platform value creation</t>
        </is>
      </c>
    </row>
    <row r="5">
      <c r="B5" s="3" t="inlineStr">
        <is>
          <t>Single firm — margin transformation</t>
        </is>
      </c>
    </row>
    <row r="6">
      <c r="B6" s="28" t="inlineStr"/>
      <c r="D6" s="28" t="inlineStr">
        <is>
          <t>Baseline</t>
        </is>
      </c>
      <c r="E6" s="28" t="inlineStr">
        <is>
          <t>Slow AI</t>
        </is>
      </c>
      <c r="F6" s="28" t="inlineStr">
        <is>
          <t>Base AI</t>
        </is>
      </c>
      <c r="G6" s="28" t="inlineStr">
        <is>
          <t>Aggressive AI</t>
        </is>
      </c>
    </row>
    <row r="7">
      <c r="B7" t="inlineStr">
        <is>
          <t>Revenue (€K)</t>
        </is>
      </c>
      <c r="D7" s="18">
        <f>Operating!D21</f>
        <v/>
      </c>
      <c r="E7" s="18">
        <f>Operating!E21</f>
        <v/>
      </c>
      <c r="F7" s="18">
        <f>Operating!F21</f>
        <v/>
      </c>
      <c r="G7" s="18">
        <f>Operating!G21</f>
        <v/>
      </c>
    </row>
    <row r="8">
      <c r="B8" s="8" t="inlineStr">
        <is>
          <t>Adjusted EBITDA (€K)</t>
        </is>
      </c>
      <c r="D8" s="13">
        <f>Operating!D39</f>
        <v/>
      </c>
      <c r="E8" s="13">
        <f>Operating!E39</f>
        <v/>
      </c>
      <c r="F8" s="13">
        <f>Operating!F39</f>
        <v/>
      </c>
      <c r="G8" s="13">
        <f>Operating!G39</f>
        <v/>
      </c>
    </row>
    <row r="9">
      <c r="B9" s="8" t="inlineStr">
        <is>
          <t>Adjusted EBITDA margin</t>
        </is>
      </c>
      <c r="D9" s="22">
        <f>Operating!D40</f>
        <v/>
      </c>
      <c r="E9" s="22">
        <f>Operating!E40</f>
        <v/>
      </c>
      <c r="F9" s="22">
        <f>Operating!F40</f>
        <v/>
      </c>
      <c r="G9" s="22">
        <f>Operating!G40</f>
        <v/>
      </c>
    </row>
    <row r="11">
      <c r="B11" s="3" t="inlineStr">
        <is>
          <t>Platform roll-up math (8 firms acquired + base AI)</t>
        </is>
      </c>
    </row>
    <row r="12">
      <c r="B12" t="inlineStr">
        <is>
          <t>Number of firms in platform</t>
        </is>
      </c>
      <c r="C12" s="2" t="inlineStr">
        <is>
          <t>#</t>
        </is>
      </c>
      <c r="D12" s="29" t="n">
        <v>8</v>
      </c>
    </row>
    <row r="13">
      <c r="B13" t="inlineStr">
        <is>
          <t>Avg revenue per firm (€K)</t>
        </is>
      </c>
      <c r="D13" s="18">
        <f>Operating!D21</f>
        <v/>
      </c>
    </row>
    <row r="14">
      <c r="B14" s="8" t="inlineStr">
        <is>
          <t>Platform revenue baseline (€K)</t>
        </is>
      </c>
      <c r="D14" s="13">
        <f>D12*Operating!D21</f>
        <v/>
      </c>
    </row>
    <row r="15">
      <c r="B15" s="8" t="inlineStr">
        <is>
          <t>Platform revenue post-AI base (€K)</t>
        </is>
      </c>
      <c r="D15" s="13">
        <f>D12*Operating!F21</f>
        <v/>
      </c>
    </row>
    <row r="17">
      <c r="B17" s="8" t="inlineStr">
        <is>
          <t>Platform Adj EBITDA baseline (€K)</t>
        </is>
      </c>
      <c r="D17" s="13">
        <f>D12*Operating!D39</f>
        <v/>
      </c>
    </row>
    <row r="18">
      <c r="B18" s="8" t="inlineStr">
        <is>
          <t>Platform Adj EBITDA post-AI base (€K)</t>
        </is>
      </c>
      <c r="D18" s="13">
        <f>D12*Operating!F39</f>
        <v/>
      </c>
    </row>
    <row r="19">
      <c r="B19" s="8" t="inlineStr">
        <is>
          <t>Δ EBITDA from AI (€K)</t>
        </is>
      </c>
      <c r="D19" s="30">
        <f>D18-D17</f>
        <v/>
      </c>
    </row>
    <row r="21">
      <c r="B21" s="3" t="inlineStr">
        <is>
          <t>Valuation impact (entry vs exit multiple arbitrage)</t>
        </is>
      </c>
    </row>
    <row r="22">
      <c r="B22" t="inlineStr">
        <is>
          <t>Entry multiple (avg, bolt-on)</t>
        </is>
      </c>
      <c r="C22" s="2" t="inlineStr">
        <is>
          <t>x</t>
        </is>
      </c>
      <c r="D22" s="31" t="n">
        <v>5</v>
      </c>
    </row>
    <row r="23">
      <c r="B23" t="inlineStr">
        <is>
          <t>Exit multiple (platform-quality)</t>
        </is>
      </c>
      <c r="C23" s="2" t="inlineStr">
        <is>
          <t>x</t>
        </is>
      </c>
      <c r="D23" s="31" t="n">
        <v>9</v>
      </c>
    </row>
    <row r="25">
      <c r="B25" t="inlineStr">
        <is>
          <t>Entry EV (8 firms @ baseline EBITDA × entry mult)</t>
        </is>
      </c>
      <c r="D25" s="13">
        <f>D22*D17</f>
        <v/>
      </c>
    </row>
    <row r="26">
      <c r="B26" t="inlineStr">
        <is>
          <t>Exit EV (post-AI EBITDA × exit mult)</t>
        </is>
      </c>
      <c r="D26" s="23">
        <f>D23*D18</f>
        <v/>
      </c>
    </row>
    <row r="27">
      <c r="B27" s="8" t="inlineStr">
        <is>
          <t>EV creation (€K)</t>
        </is>
      </c>
      <c r="D27" s="30">
        <f>D26-D25</f>
        <v/>
      </c>
    </row>
    <row r="28">
      <c r="B28" s="8" t="inlineStr">
        <is>
          <t>EV creation as multiple of entry EV</t>
        </is>
      </c>
      <c r="D28" s="32">
        <f>D26/D25</f>
        <v/>
      </c>
    </row>
    <row r="30">
      <c r="B30" s="3" t="inlineStr">
        <is>
          <t>Decomposition: where does EV creation come from?</t>
        </is>
      </c>
    </row>
    <row r="31">
      <c r="B31" t="inlineStr">
        <is>
          <t>From multiple arbitrage (entry vs exit at same EBITDA)</t>
        </is>
      </c>
      <c r="D31" s="11">
        <f>(D23-D22)*D17</f>
        <v/>
      </c>
    </row>
    <row r="32">
      <c r="B32" t="inlineStr">
        <is>
          <t>From AI-driven EBITDA growth (at exit multiple)</t>
        </is>
      </c>
      <c r="D32" s="11">
        <f>(D18-D17)*D23</f>
        <v/>
      </c>
    </row>
  </sheetData>
  <mergeCells count="4">
    <mergeCell ref="B5:G5"/>
    <mergeCell ref="B21:G21"/>
    <mergeCell ref="B30:G30"/>
    <mergeCell ref="B11:G1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C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70" customWidth="1" min="3" max="3"/>
  </cols>
  <sheetData>
    <row r="1">
      <c r="B1" s="7" t="inlineStr">
        <is>
          <t>Sources &amp; Benchmarks</t>
        </is>
      </c>
    </row>
    <row r="3">
      <c r="B3" s="3" t="inlineStr">
        <is>
          <t>Tier</t>
        </is>
      </c>
      <c r="C3" s="3" t="inlineStr">
        <is>
          <t>Reference / claim</t>
        </is>
      </c>
    </row>
    <row r="4">
      <c r="B4" s="5" t="inlineStr">
        <is>
          <t>Benchmark</t>
        </is>
      </c>
      <c r="C4" s="27" t="inlineStr">
        <is>
          <t>Services overlay: 60-75% labor as % revenue; 15-30% EBITDA margin baseline for services firms (skill: services overlay)</t>
        </is>
      </c>
    </row>
    <row r="5">
      <c r="B5" s="5" t="inlineStr">
        <is>
          <t>T3</t>
        </is>
      </c>
      <c r="C5" s="27" t="inlineStr">
        <is>
          <t>Poe Group Advisors — accounting practice EBITDA multiples 4-8x small, 6-12x platform-quality</t>
        </is>
      </c>
    </row>
    <row r="6">
      <c r="B6" s="5" t="inlineStr">
        <is>
          <t>T3</t>
        </is>
      </c>
      <c r="C6" s="27" t="inlineStr">
        <is>
          <t>Sofer Advisors — recurring revenue &gt;80% adds 0.2-0.4x to multiple</t>
        </is>
      </c>
    </row>
    <row r="7">
      <c r="B7" s="5" t="inlineStr">
        <is>
          <t>T3</t>
        </is>
      </c>
      <c r="C7" s="27" t="inlineStr">
        <is>
          <t>Madras Accountancy — annual PE deal volume in accounting: 22 (2023) → 65 (2024) → 100+ (2025)</t>
        </is>
      </c>
    </row>
    <row r="8">
      <c r="B8" s="5" t="inlineStr">
        <is>
          <t>T2</t>
        </is>
      </c>
      <c r="C8" s="27" t="inlineStr">
        <is>
          <t>MGI Worldwide — Italian/Polish accounting firms balance reform, digital change and consolidation</t>
        </is>
      </c>
    </row>
    <row r="9">
      <c r="B9" s="5" t="inlineStr">
        <is>
          <t>T2</t>
        </is>
      </c>
      <c r="C9" s="27" t="inlineStr">
        <is>
          <t>Wolters Kluwer — Agentic AI and the future-ready accounting firm</t>
        </is>
      </c>
    </row>
    <row r="10">
      <c r="B10" s="5" t="inlineStr">
        <is>
          <t>T3</t>
        </is>
      </c>
      <c r="C10" s="27" t="inlineStr">
        <is>
          <t>Truewind / Karbon — AI bookkeeping productivity benchmarks: 25-40% gain in document IDP and reconciliation tasks</t>
        </is>
      </c>
    </row>
    <row r="11">
      <c r="B11" s="5" t="inlineStr">
        <is>
          <t>T2</t>
        </is>
      </c>
      <c r="C11" s="27" t="inlineStr">
        <is>
          <t>Sovos / Avalara / EDICOM — Polish KSeF mandate Feb 2026 (large), April 2026 (all)</t>
        </is>
      </c>
    </row>
    <row r="12">
      <c r="B12" s="5" t="inlineStr">
        <is>
          <t>T2</t>
        </is>
      </c>
      <c r="C12" s="27" t="inlineStr">
        <is>
          <t>Aventis Advisors — CEE median EV/EBITDA 6.7x vs 9.4x EU ex-CEE</t>
        </is>
      </c>
    </row>
    <row r="13">
      <c r="B13" s="5" t="inlineStr">
        <is>
          <t>T2</t>
        </is>
      </c>
      <c r="C13" s="27" t="inlineStr">
        <is>
          <t>Eurofound (via CBI) — CEE labor costs ~40% below Western Europe</t>
        </is>
      </c>
    </row>
    <row r="14">
      <c r="B14" s="5" t="inlineStr">
        <is>
          <t>Internal</t>
        </is>
      </c>
      <c r="C14" s="27" t="inlineStr">
        <is>
          <t>Italian SMB studio archetype: 15 FTE / €1.95M rev / 20% baseline EBITDA / 23% adjusted EBITDA — synthesis of services overlay + industry benchmarks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2026-05-21T08:56:11Z</dcterms:created>
  <dcterms:modified xmlns:dcterms="http://purl.org/dc/terms/" xmlns:xsi="http://www.w3.org/2001/XMLSchema-instance" xsi:type="dcterms:W3CDTF">2026-05-21T08:56:11Z</dcterms:modified>
</cp:coreProperties>
</file>